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vtb\docs\analytics\"/>
    </mc:Choice>
  </mc:AlternateContent>
  <xr:revisionPtr revIDLastSave="0" documentId="13_ncr:1_{6D8756DE-EC9F-4988-A46F-AC55C08D8F1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Итоги" sheetId="1" r:id="rId1"/>
    <sheet name="Допущения" sheetId="2" r:id="rId2"/>
    <sheet name="Расчёт" sheetId="3" r:id="rId3"/>
    <sheet name="Источники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64" i="3" l="1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H52" i="3"/>
  <c r="H59" i="3" s="1"/>
  <c r="G52" i="3"/>
  <c r="G59" i="3" s="1"/>
  <c r="F52" i="3"/>
  <c r="F59" i="3" s="1"/>
  <c r="E52" i="3"/>
  <c r="E59" i="3" s="1"/>
  <c r="D52" i="3"/>
  <c r="D59" i="3" s="1"/>
  <c r="C52" i="3"/>
  <c r="C59" i="3" s="1"/>
  <c r="AL51" i="3"/>
  <c r="AL52" i="3" s="1"/>
  <c r="AK51" i="3"/>
  <c r="AK52" i="3" s="1"/>
  <c r="AJ51" i="3"/>
  <c r="AJ52" i="3" s="1"/>
  <c r="AI51" i="3"/>
  <c r="AI52" i="3" s="1"/>
  <c r="AH51" i="3"/>
  <c r="AH52" i="3" s="1"/>
  <c r="AG51" i="3"/>
  <c r="AG52" i="3" s="1"/>
  <c r="AF51" i="3"/>
  <c r="AF52" i="3" s="1"/>
  <c r="AE51" i="3"/>
  <c r="AE52" i="3" s="1"/>
  <c r="AD51" i="3"/>
  <c r="AD52" i="3" s="1"/>
  <c r="AC51" i="3"/>
  <c r="AC52" i="3" s="1"/>
  <c r="AB51" i="3"/>
  <c r="AB52" i="3" s="1"/>
  <c r="AA51" i="3"/>
  <c r="AA52" i="3" s="1"/>
  <c r="Z51" i="3"/>
  <c r="Z52" i="3" s="1"/>
  <c r="Y51" i="3"/>
  <c r="Y52" i="3" s="1"/>
  <c r="X51" i="3"/>
  <c r="X52" i="3" s="1"/>
  <c r="W51" i="3"/>
  <c r="W52" i="3" s="1"/>
  <c r="V51" i="3"/>
  <c r="V52" i="3" s="1"/>
  <c r="U51" i="3"/>
  <c r="U52" i="3" s="1"/>
  <c r="T51" i="3"/>
  <c r="T52" i="3" s="1"/>
  <c r="S51" i="3"/>
  <c r="S52" i="3" s="1"/>
  <c r="R51" i="3"/>
  <c r="R52" i="3" s="1"/>
  <c r="Q51" i="3"/>
  <c r="Q52" i="3" s="1"/>
  <c r="P51" i="3"/>
  <c r="P52" i="3" s="1"/>
  <c r="O51" i="3"/>
  <c r="O52" i="3" s="1"/>
  <c r="N51" i="3"/>
  <c r="N52" i="3" s="1"/>
  <c r="M51" i="3"/>
  <c r="M52" i="3" s="1"/>
  <c r="L51" i="3"/>
  <c r="L52" i="3" s="1"/>
  <c r="K51" i="3"/>
  <c r="K52" i="3" s="1"/>
  <c r="J51" i="3"/>
  <c r="J52" i="3" s="1"/>
  <c r="I51" i="3"/>
  <c r="I52" i="3" s="1"/>
  <c r="H51" i="3"/>
  <c r="G51" i="3"/>
  <c r="F51" i="3"/>
  <c r="E51" i="3"/>
  <c r="D51" i="3"/>
  <c r="C5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AK36" i="3"/>
  <c r="C33" i="3"/>
  <c r="F30" i="3"/>
  <c r="Z29" i="3"/>
  <c r="N29" i="3"/>
  <c r="H29" i="3"/>
  <c r="H36" i="3" s="1"/>
  <c r="G29" i="3"/>
  <c r="G36" i="3" s="1"/>
  <c r="F29" i="3"/>
  <c r="F36" i="3" s="1"/>
  <c r="E29" i="3"/>
  <c r="E36" i="3" s="1"/>
  <c r="D29" i="3"/>
  <c r="D30" i="3" s="1"/>
  <c r="C29" i="3"/>
  <c r="C36" i="3" s="1"/>
  <c r="AL28" i="3"/>
  <c r="AL29" i="3" s="1"/>
  <c r="AK28" i="3"/>
  <c r="AK29" i="3" s="1"/>
  <c r="AJ28" i="3"/>
  <c r="AJ29" i="3" s="1"/>
  <c r="AI28" i="3"/>
  <c r="AI29" i="3" s="1"/>
  <c r="AH28" i="3"/>
  <c r="AH29" i="3" s="1"/>
  <c r="AG28" i="3"/>
  <c r="AG29" i="3" s="1"/>
  <c r="AG36" i="3" s="1"/>
  <c r="AF28" i="3"/>
  <c r="AF29" i="3" s="1"/>
  <c r="AE28" i="3"/>
  <c r="AE29" i="3" s="1"/>
  <c r="AD28" i="3"/>
  <c r="AD29" i="3" s="1"/>
  <c r="AC28" i="3"/>
  <c r="AC29" i="3" s="1"/>
  <c r="AB28" i="3"/>
  <c r="AB29" i="3" s="1"/>
  <c r="AA28" i="3"/>
  <c r="AA29" i="3" s="1"/>
  <c r="AA36" i="3" s="1"/>
  <c r="Z28" i="3"/>
  <c r="Y28" i="3"/>
  <c r="Y29" i="3" s="1"/>
  <c r="X28" i="3"/>
  <c r="X29" i="3" s="1"/>
  <c r="W28" i="3"/>
  <c r="W29" i="3" s="1"/>
  <c r="V28" i="3"/>
  <c r="V29" i="3" s="1"/>
  <c r="U28" i="3"/>
  <c r="U29" i="3" s="1"/>
  <c r="T28" i="3"/>
  <c r="T29" i="3" s="1"/>
  <c r="S28" i="3"/>
  <c r="S29" i="3" s="1"/>
  <c r="R28" i="3"/>
  <c r="R29" i="3" s="1"/>
  <c r="R33" i="3" s="1"/>
  <c r="Q28" i="3"/>
  <c r="Q29" i="3" s="1"/>
  <c r="P28" i="3"/>
  <c r="P29" i="3" s="1"/>
  <c r="P33" i="3" s="1"/>
  <c r="O28" i="3"/>
  <c r="O29" i="3" s="1"/>
  <c r="N28" i="3"/>
  <c r="M28" i="3"/>
  <c r="M29" i="3" s="1"/>
  <c r="L28" i="3"/>
  <c r="L29" i="3" s="1"/>
  <c r="K28" i="3"/>
  <c r="K29" i="3" s="1"/>
  <c r="J28" i="3"/>
  <c r="J29" i="3" s="1"/>
  <c r="I28" i="3"/>
  <c r="I29" i="3" s="1"/>
  <c r="H28" i="3"/>
  <c r="G28" i="3"/>
  <c r="F28" i="3"/>
  <c r="E28" i="3"/>
  <c r="D28" i="3"/>
  <c r="C2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AC6" i="3"/>
  <c r="AC13" i="3" s="1"/>
  <c r="Y6" i="3"/>
  <c r="Y10" i="3" s="1"/>
  <c r="N6" i="3"/>
  <c r="N10" i="3" s="1"/>
  <c r="H6" i="3"/>
  <c r="H13" i="3" s="1"/>
  <c r="G6" i="3"/>
  <c r="G13" i="3" s="1"/>
  <c r="F6" i="3"/>
  <c r="F11" i="3" s="1"/>
  <c r="E6" i="3"/>
  <c r="E10" i="3" s="1"/>
  <c r="D6" i="3"/>
  <c r="C6" i="3"/>
  <c r="C13" i="3" s="1"/>
  <c r="AL5" i="3"/>
  <c r="AL6" i="3" s="1"/>
  <c r="B5" i="1" s="1"/>
  <c r="AK5" i="3"/>
  <c r="AK6" i="3" s="1"/>
  <c r="AK13" i="3" s="1"/>
  <c r="AJ5" i="3"/>
  <c r="AJ6" i="3" s="1"/>
  <c r="AI5" i="3"/>
  <c r="AI6" i="3" s="1"/>
  <c r="AH5" i="3"/>
  <c r="AH6" i="3" s="1"/>
  <c r="AG5" i="3"/>
  <c r="AG6" i="3" s="1"/>
  <c r="AF5" i="3"/>
  <c r="AF6" i="3" s="1"/>
  <c r="AE5" i="3"/>
  <c r="AE6" i="3" s="1"/>
  <c r="AD5" i="3"/>
  <c r="AD6" i="3" s="1"/>
  <c r="AC5" i="3"/>
  <c r="AB5" i="3"/>
  <c r="AB6" i="3" s="1"/>
  <c r="AA5" i="3"/>
  <c r="AA6" i="3" s="1"/>
  <c r="Z5" i="3"/>
  <c r="Z6" i="3" s="1"/>
  <c r="Y5" i="3"/>
  <c r="X5" i="3"/>
  <c r="X6" i="3" s="1"/>
  <c r="W5" i="3"/>
  <c r="W6" i="3" s="1"/>
  <c r="V5" i="3"/>
  <c r="V6" i="3" s="1"/>
  <c r="U5" i="3"/>
  <c r="U6" i="3" s="1"/>
  <c r="T5" i="3"/>
  <c r="T6" i="3" s="1"/>
  <c r="S5" i="3"/>
  <c r="S6" i="3" s="1"/>
  <c r="R5" i="3"/>
  <c r="R6" i="3" s="1"/>
  <c r="Q5" i="3"/>
  <c r="Q6" i="3" s="1"/>
  <c r="P5" i="3"/>
  <c r="P6" i="3" s="1"/>
  <c r="O5" i="3"/>
  <c r="O6" i="3" s="1"/>
  <c r="N5" i="3"/>
  <c r="M5" i="3"/>
  <c r="M6" i="3" s="1"/>
  <c r="M10" i="3" s="1"/>
  <c r="L5" i="3"/>
  <c r="L6" i="3" s="1"/>
  <c r="K5" i="3"/>
  <c r="K6" i="3" s="1"/>
  <c r="J5" i="3"/>
  <c r="J6" i="3" s="1"/>
  <c r="I5" i="3"/>
  <c r="I6" i="3" s="1"/>
  <c r="H5" i="3"/>
  <c r="G5" i="3"/>
  <c r="F5" i="3"/>
  <c r="E5" i="3"/>
  <c r="D5" i="3"/>
  <c r="C5" i="3"/>
  <c r="D35" i="2"/>
  <c r="B35" i="2"/>
  <c r="D34" i="2"/>
  <c r="B34" i="2"/>
  <c r="D33" i="2"/>
  <c r="B33" i="2"/>
  <c r="D32" i="2"/>
  <c r="B32" i="2"/>
  <c r="D31" i="2"/>
  <c r="B31" i="2"/>
  <c r="D30" i="2"/>
  <c r="B30" i="2"/>
  <c r="D29" i="2"/>
  <c r="B29" i="2"/>
  <c r="D28" i="2"/>
  <c r="B28" i="2"/>
  <c r="D27" i="2"/>
  <c r="B27" i="2"/>
  <c r="D26" i="2"/>
  <c r="B26" i="2"/>
  <c r="D25" i="2"/>
  <c r="B25" i="2"/>
  <c r="D23" i="2"/>
  <c r="B23" i="2"/>
  <c r="D22" i="2"/>
  <c r="B22" i="2"/>
  <c r="D21" i="2"/>
  <c r="B21" i="2"/>
  <c r="D20" i="2"/>
  <c r="B20" i="2"/>
  <c r="D19" i="2"/>
  <c r="B19" i="2"/>
  <c r="D11" i="2"/>
  <c r="B11" i="2"/>
  <c r="D10" i="2"/>
  <c r="B10" i="2"/>
  <c r="D9" i="2"/>
  <c r="B9" i="2"/>
  <c r="D8" i="2"/>
  <c r="B8" i="2"/>
  <c r="D7" i="2"/>
  <c r="B7" i="2"/>
  <c r="D6" i="2"/>
  <c r="B6" i="2"/>
  <c r="D5" i="1"/>
  <c r="Y36" i="3" l="1"/>
  <c r="Y33" i="3"/>
  <c r="F34" i="3"/>
  <c r="N7" i="3"/>
  <c r="Y7" i="3"/>
  <c r="N11" i="3"/>
  <c r="Y11" i="3"/>
  <c r="Y13" i="3"/>
  <c r="Y19" i="3" s="1"/>
  <c r="N13" i="3"/>
  <c r="N14" i="3" s="1"/>
  <c r="AG42" i="3"/>
  <c r="P13" i="3"/>
  <c r="P11" i="3"/>
  <c r="P10" i="3"/>
  <c r="P7" i="3"/>
  <c r="AK19" i="3"/>
  <c r="Z10" i="3"/>
  <c r="Z13" i="3"/>
  <c r="Z11" i="3"/>
  <c r="Z7" i="3"/>
  <c r="AB13" i="3"/>
  <c r="AB11" i="3"/>
  <c r="AB10" i="3"/>
  <c r="AB7" i="3"/>
  <c r="AH36" i="3"/>
  <c r="AH30" i="3"/>
  <c r="AH33" i="3"/>
  <c r="Q13" i="3"/>
  <c r="Q11" i="3"/>
  <c r="Q7" i="3"/>
  <c r="Q10" i="3"/>
  <c r="M7" i="3"/>
  <c r="M11" i="3"/>
  <c r="M13" i="3"/>
  <c r="V36" i="3"/>
  <c r="V33" i="3"/>
  <c r="V30" i="3"/>
  <c r="V34" i="3"/>
  <c r="I34" i="3"/>
  <c r="I30" i="3"/>
  <c r="I33" i="3"/>
  <c r="I36" i="3"/>
  <c r="AL10" i="3"/>
  <c r="J36" i="3"/>
  <c r="J34" i="3"/>
  <c r="J30" i="3"/>
  <c r="J33" i="3"/>
  <c r="R11" i="3"/>
  <c r="R7" i="3"/>
  <c r="R13" i="3"/>
  <c r="R10" i="3"/>
  <c r="Y42" i="3"/>
  <c r="AK42" i="3"/>
  <c r="C19" i="3"/>
  <c r="C14" i="3"/>
  <c r="C20" i="3" s="1"/>
  <c r="S13" i="3"/>
  <c r="S11" i="3"/>
  <c r="S10" i="3"/>
  <c r="S7" i="3"/>
  <c r="M33" i="3"/>
  <c r="M36" i="3"/>
  <c r="M30" i="3"/>
  <c r="M34" i="3"/>
  <c r="AK34" i="3"/>
  <c r="AK33" i="3"/>
  <c r="AK30" i="3"/>
  <c r="D13" i="3"/>
  <c r="D11" i="3"/>
  <c r="D10" i="3"/>
  <c r="D7" i="3"/>
  <c r="T13" i="3"/>
  <c r="T11" i="3"/>
  <c r="T10" i="3"/>
  <c r="T7" i="3"/>
  <c r="AF13" i="3"/>
  <c r="AF11" i="3"/>
  <c r="AF10" i="3"/>
  <c r="AF7" i="3"/>
  <c r="H19" i="3"/>
  <c r="H14" i="3"/>
  <c r="AL36" i="3"/>
  <c r="AL34" i="3"/>
  <c r="AL33" i="3"/>
  <c r="AL30" i="3"/>
  <c r="C5" i="1"/>
  <c r="O59" i="3"/>
  <c r="O57" i="3"/>
  <c r="O56" i="3"/>
  <c r="O53" i="3"/>
  <c r="AA59" i="3"/>
  <c r="AA57" i="3"/>
  <c r="AA56" i="3"/>
  <c r="AA53" i="3"/>
  <c r="AA13" i="3"/>
  <c r="AA11" i="3"/>
  <c r="AA10" i="3"/>
  <c r="AA7" i="3"/>
  <c r="G19" i="3"/>
  <c r="V13" i="3"/>
  <c r="V11" i="3"/>
  <c r="V10" i="3"/>
  <c r="V7" i="3"/>
  <c r="AL11" i="3"/>
  <c r="P36" i="3"/>
  <c r="P34" i="3"/>
  <c r="P30" i="3"/>
  <c r="AB36" i="3"/>
  <c r="AB34" i="3"/>
  <c r="AB33" i="3"/>
  <c r="D36" i="3"/>
  <c r="D33" i="3"/>
  <c r="P59" i="3"/>
  <c r="P57" i="3"/>
  <c r="P56" i="3"/>
  <c r="P53" i="3"/>
  <c r="AB59" i="3"/>
  <c r="AB57" i="3"/>
  <c r="AB56" i="3"/>
  <c r="AB53" i="3"/>
  <c r="O13" i="3"/>
  <c r="O11" i="3"/>
  <c r="O10" i="3"/>
  <c r="O7" i="3"/>
  <c r="U13" i="3"/>
  <c r="U11" i="3"/>
  <c r="U10" i="3"/>
  <c r="U7" i="3"/>
  <c r="AK11" i="3"/>
  <c r="AL13" i="3"/>
  <c r="K13" i="3"/>
  <c r="K11" i="3"/>
  <c r="K10" i="3"/>
  <c r="K7" i="3"/>
  <c r="AI13" i="3"/>
  <c r="AI11" i="3"/>
  <c r="AI10" i="3"/>
  <c r="AI7" i="3"/>
  <c r="Q36" i="3"/>
  <c r="Q34" i="3"/>
  <c r="Q33" i="3"/>
  <c r="Q30" i="3"/>
  <c r="AC36" i="3"/>
  <c r="AC34" i="3"/>
  <c r="AC33" i="3"/>
  <c r="AC30" i="3"/>
  <c r="E42" i="3"/>
  <c r="E37" i="3"/>
  <c r="AB30" i="3"/>
  <c r="D34" i="3"/>
  <c r="O36" i="3"/>
  <c r="O34" i="3"/>
  <c r="O33" i="3"/>
  <c r="O30" i="3"/>
  <c r="AL7" i="3"/>
  <c r="W13" i="3"/>
  <c r="W11" i="3"/>
  <c r="W10" i="3"/>
  <c r="W7" i="3"/>
  <c r="L13" i="3"/>
  <c r="L11" i="3"/>
  <c r="L10" i="3"/>
  <c r="L7" i="3"/>
  <c r="AJ13" i="3"/>
  <c r="AK14" i="3" s="1"/>
  <c r="AK20" i="3" s="1"/>
  <c r="AJ11" i="3"/>
  <c r="AJ10" i="3"/>
  <c r="AJ7" i="3"/>
  <c r="R36" i="3"/>
  <c r="R34" i="3"/>
  <c r="R30" i="3"/>
  <c r="AD36" i="3"/>
  <c r="AD34" i="3"/>
  <c r="AD33" i="3"/>
  <c r="AD30" i="3"/>
  <c r="AK10" i="3"/>
  <c r="AG30" i="3"/>
  <c r="AG33" i="3"/>
  <c r="U33" i="3"/>
  <c r="U36" i="3"/>
  <c r="U30" i="3"/>
  <c r="U34" i="3"/>
  <c r="AD7" i="3"/>
  <c r="AD10" i="3"/>
  <c r="AD11" i="3"/>
  <c r="AD13" i="3"/>
  <c r="I13" i="3"/>
  <c r="I11" i="3"/>
  <c r="I10" i="3"/>
  <c r="I7" i="3"/>
  <c r="AK7" i="3"/>
  <c r="J13" i="3"/>
  <c r="J11" i="3"/>
  <c r="J10" i="3"/>
  <c r="J7" i="3"/>
  <c r="AG34" i="3"/>
  <c r="AE13" i="3"/>
  <c r="AE11" i="3"/>
  <c r="AE10" i="3"/>
  <c r="AE7" i="3"/>
  <c r="AG13" i="3"/>
  <c r="AG11" i="3"/>
  <c r="AG10" i="3"/>
  <c r="AG7" i="3"/>
  <c r="AH13" i="3"/>
  <c r="AH11" i="3"/>
  <c r="AH10" i="3"/>
  <c r="AH7" i="3"/>
  <c r="X13" i="3"/>
  <c r="X11" i="3"/>
  <c r="X10" i="3"/>
  <c r="X7" i="3"/>
  <c r="AC14" i="3"/>
  <c r="AC19" i="3"/>
  <c r="AH34" i="3"/>
  <c r="AA42" i="3"/>
  <c r="AF59" i="3"/>
  <c r="AF57" i="3"/>
  <c r="AF56" i="3"/>
  <c r="AF53" i="3"/>
  <c r="G7" i="3"/>
  <c r="G10" i="3"/>
  <c r="G11" i="3"/>
  <c r="I59" i="3"/>
  <c r="I57" i="3"/>
  <c r="I56" i="3"/>
  <c r="I53" i="3"/>
  <c r="U59" i="3"/>
  <c r="U57" i="3"/>
  <c r="U56" i="3"/>
  <c r="U53" i="3"/>
  <c r="AG59" i="3"/>
  <c r="AG57" i="3"/>
  <c r="AG56" i="3"/>
  <c r="AG53" i="3"/>
  <c r="H7" i="3"/>
  <c r="H10" i="3"/>
  <c r="H11" i="3"/>
  <c r="K36" i="3"/>
  <c r="K34" i="3"/>
  <c r="K33" i="3"/>
  <c r="K30" i="3"/>
  <c r="W36" i="3"/>
  <c r="W34" i="3"/>
  <c r="W33" i="3"/>
  <c r="W30" i="3"/>
  <c r="AI36" i="3"/>
  <c r="AI34" i="3"/>
  <c r="AI33" i="3"/>
  <c r="AI30" i="3"/>
  <c r="F33" i="3"/>
  <c r="J59" i="3"/>
  <c r="J57" i="3"/>
  <c r="J56" i="3"/>
  <c r="J53" i="3"/>
  <c r="V59" i="3"/>
  <c r="V57" i="3"/>
  <c r="V56" i="3"/>
  <c r="V53" i="3"/>
  <c r="AH59" i="3"/>
  <c r="AH57" i="3"/>
  <c r="AH56" i="3"/>
  <c r="AH53" i="3"/>
  <c r="E11" i="3"/>
  <c r="AF36" i="3"/>
  <c r="AF34" i="3"/>
  <c r="AF33" i="3"/>
  <c r="AF30" i="3"/>
  <c r="F7" i="3"/>
  <c r="AA33" i="3"/>
  <c r="L36" i="3"/>
  <c r="L34" i="3"/>
  <c r="L33" i="3"/>
  <c r="L30" i="3"/>
  <c r="X36" i="3"/>
  <c r="Y37" i="3" s="1"/>
  <c r="Y43" i="3" s="1"/>
  <c r="X34" i="3"/>
  <c r="X33" i="3"/>
  <c r="X30" i="3"/>
  <c r="AJ36" i="3"/>
  <c r="AK37" i="3" s="1"/>
  <c r="AK43" i="3" s="1"/>
  <c r="AJ34" i="3"/>
  <c r="AJ33" i="3"/>
  <c r="AJ30" i="3"/>
  <c r="N36" i="3"/>
  <c r="N34" i="3"/>
  <c r="N33" i="3"/>
  <c r="N30" i="3"/>
  <c r="K59" i="3"/>
  <c r="K57" i="3"/>
  <c r="K56" i="3"/>
  <c r="K53" i="3"/>
  <c r="W59" i="3"/>
  <c r="W57" i="3"/>
  <c r="W56" i="3"/>
  <c r="W53" i="3"/>
  <c r="AI59" i="3"/>
  <c r="AI57" i="3"/>
  <c r="AI56" i="3"/>
  <c r="AI53" i="3"/>
  <c r="E13" i="3"/>
  <c r="F10" i="3"/>
  <c r="F13" i="3"/>
  <c r="Y34" i="3"/>
  <c r="L59" i="3"/>
  <c r="L57" i="3"/>
  <c r="L56" i="3"/>
  <c r="L53" i="3"/>
  <c r="X59" i="3"/>
  <c r="X57" i="3"/>
  <c r="X56" i="3"/>
  <c r="X53" i="3"/>
  <c r="AJ59" i="3"/>
  <c r="AJ57" i="3"/>
  <c r="AJ56" i="3"/>
  <c r="AJ53" i="3"/>
  <c r="E7" i="3"/>
  <c r="AC11" i="3"/>
  <c r="T36" i="3"/>
  <c r="T34" i="3"/>
  <c r="T33" i="3"/>
  <c r="T30" i="3"/>
  <c r="S59" i="3"/>
  <c r="S57" i="3"/>
  <c r="S56" i="3"/>
  <c r="S53" i="3"/>
  <c r="Y30" i="3"/>
  <c r="AA34" i="3"/>
  <c r="M59" i="3"/>
  <c r="M57" i="3"/>
  <c r="M56" i="3"/>
  <c r="M53" i="3"/>
  <c r="Y59" i="3"/>
  <c r="Y57" i="3"/>
  <c r="Y56" i="3"/>
  <c r="Y53" i="3"/>
  <c r="AK59" i="3"/>
  <c r="AK57" i="3"/>
  <c r="AK56" i="3"/>
  <c r="AK53" i="3"/>
  <c r="C42" i="3"/>
  <c r="C37" i="3"/>
  <c r="C30" i="3"/>
  <c r="AA30" i="3"/>
  <c r="C34" i="3"/>
  <c r="N59" i="3"/>
  <c r="N57" i="3"/>
  <c r="N56" i="3"/>
  <c r="N53" i="3"/>
  <c r="Z59" i="3"/>
  <c r="Z57" i="3"/>
  <c r="Z56" i="3"/>
  <c r="Z53" i="3"/>
  <c r="AL59" i="3"/>
  <c r="AL57" i="3"/>
  <c r="AL56" i="3"/>
  <c r="AL53" i="3"/>
  <c r="C65" i="3"/>
  <c r="C60" i="3"/>
  <c r="C66" i="3" s="1"/>
  <c r="D65" i="3"/>
  <c r="D60" i="3"/>
  <c r="D66" i="3" s="1"/>
  <c r="C7" i="3"/>
  <c r="C10" i="3"/>
  <c r="C11" i="3"/>
  <c r="F42" i="3"/>
  <c r="F37" i="3"/>
  <c r="Q59" i="3"/>
  <c r="Q57" i="3"/>
  <c r="Q56" i="3"/>
  <c r="Q53" i="3"/>
  <c r="AC59" i="3"/>
  <c r="AC57" i="3"/>
  <c r="AC56" i="3"/>
  <c r="AC53" i="3"/>
  <c r="E65" i="3"/>
  <c r="E60" i="3"/>
  <c r="S36" i="3"/>
  <c r="S34" i="3"/>
  <c r="S33" i="3"/>
  <c r="S30" i="3"/>
  <c r="AE36" i="3"/>
  <c r="AE34" i="3"/>
  <c r="AE33" i="3"/>
  <c r="AE30" i="3"/>
  <c r="G42" i="3"/>
  <c r="G37" i="3"/>
  <c r="Z36" i="3"/>
  <c r="AA37" i="3" s="1"/>
  <c r="AA43" i="3" s="1"/>
  <c r="Z34" i="3"/>
  <c r="Z33" i="3"/>
  <c r="Z30" i="3"/>
  <c r="R59" i="3"/>
  <c r="R57" i="3"/>
  <c r="R56" i="3"/>
  <c r="R53" i="3"/>
  <c r="AD59" i="3"/>
  <c r="AD57" i="3"/>
  <c r="AD56" i="3"/>
  <c r="AD53" i="3"/>
  <c r="F65" i="3"/>
  <c r="F60" i="3"/>
  <c r="AE59" i="3"/>
  <c r="AE57" i="3"/>
  <c r="AE56" i="3"/>
  <c r="AE53" i="3"/>
  <c r="G65" i="3"/>
  <c r="G60" i="3"/>
  <c r="G66" i="3" s="1"/>
  <c r="AC7" i="3"/>
  <c r="AC10" i="3"/>
  <c r="H42" i="3"/>
  <c r="H37" i="3"/>
  <c r="T59" i="3"/>
  <c r="T57" i="3"/>
  <c r="T56" i="3"/>
  <c r="T53" i="3"/>
  <c r="H65" i="3"/>
  <c r="H60" i="3"/>
  <c r="H66" i="3" s="1"/>
  <c r="C53" i="3"/>
  <c r="C56" i="3"/>
  <c r="C57" i="3"/>
  <c r="D53" i="3"/>
  <c r="D56" i="3"/>
  <c r="D57" i="3"/>
  <c r="E30" i="3"/>
  <c r="E33" i="3"/>
  <c r="E34" i="3"/>
  <c r="E53" i="3"/>
  <c r="E56" i="3"/>
  <c r="E57" i="3"/>
  <c r="F53" i="3"/>
  <c r="F56" i="3"/>
  <c r="F57" i="3"/>
  <c r="G30" i="3"/>
  <c r="G33" i="3"/>
  <c r="G34" i="3"/>
  <c r="G53" i="3"/>
  <c r="G56" i="3"/>
  <c r="G57" i="3"/>
  <c r="H30" i="3"/>
  <c r="H33" i="3"/>
  <c r="H34" i="3"/>
  <c r="H53" i="3"/>
  <c r="H56" i="3"/>
  <c r="H57" i="3"/>
  <c r="F43" i="3" l="1"/>
  <c r="C43" i="3"/>
  <c r="N19" i="3"/>
  <c r="F66" i="3"/>
  <c r="E66" i="3"/>
  <c r="H43" i="3"/>
  <c r="G43" i="3"/>
  <c r="F14" i="3"/>
  <c r="F19" i="3"/>
  <c r="AF42" i="3"/>
  <c r="AF37" i="3"/>
  <c r="AF43" i="3" s="1"/>
  <c r="AF65" i="3"/>
  <c r="AF60" i="3"/>
  <c r="O19" i="3"/>
  <c r="O14" i="3"/>
  <c r="M37" i="3"/>
  <c r="M42" i="3"/>
  <c r="Z14" i="3"/>
  <c r="Z19" i="3"/>
  <c r="J65" i="3"/>
  <c r="J60" i="3"/>
  <c r="J66" i="3" s="1"/>
  <c r="U65" i="3"/>
  <c r="U60" i="3"/>
  <c r="U66" i="3" s="1"/>
  <c r="AH19" i="3"/>
  <c r="AH14" i="3"/>
  <c r="R42" i="3"/>
  <c r="R37" i="3"/>
  <c r="R43" i="3" s="1"/>
  <c r="W19" i="3"/>
  <c r="W14" i="3"/>
  <c r="W20" i="3" s="1"/>
  <c r="AB42" i="3"/>
  <c r="AB37" i="3"/>
  <c r="AB43" i="3" s="1"/>
  <c r="Q19" i="3"/>
  <c r="Q14" i="3"/>
  <c r="Q20" i="3" s="1"/>
  <c r="O65" i="3"/>
  <c r="O60" i="3"/>
  <c r="O66" i="3" s="1"/>
  <c r="E14" i="3"/>
  <c r="E19" i="3"/>
  <c r="K65" i="3"/>
  <c r="K60" i="3"/>
  <c r="K66" i="3" s="1"/>
  <c r="X42" i="3"/>
  <c r="X37" i="3"/>
  <c r="K42" i="3"/>
  <c r="K37" i="3"/>
  <c r="K43" i="3" s="1"/>
  <c r="J19" i="3"/>
  <c r="J14" i="3"/>
  <c r="J20" i="3" s="1"/>
  <c r="U37" i="3"/>
  <c r="U42" i="3"/>
  <c r="AC42" i="3"/>
  <c r="AC37" i="3"/>
  <c r="K19" i="3"/>
  <c r="K14" i="3"/>
  <c r="K20" i="3" s="1"/>
  <c r="T19" i="3"/>
  <c r="T14" i="3"/>
  <c r="T20" i="3" s="1"/>
  <c r="AK65" i="3"/>
  <c r="AK60" i="3"/>
  <c r="AK66" i="3" s="1"/>
  <c r="AL19" i="3"/>
  <c r="AL14" i="3"/>
  <c r="AL20" i="3" s="1"/>
  <c r="AA19" i="3"/>
  <c r="AA14" i="3"/>
  <c r="AA20" i="3" s="1"/>
  <c r="R19" i="3"/>
  <c r="R14" i="3"/>
  <c r="I37" i="3"/>
  <c r="I42" i="3"/>
  <c r="C8" i="3"/>
  <c r="B6" i="1"/>
  <c r="S65" i="3"/>
  <c r="S60" i="3"/>
  <c r="S66" i="3" s="1"/>
  <c r="AB65" i="3"/>
  <c r="AB60" i="3"/>
  <c r="AB66" i="3" s="1"/>
  <c r="P42" i="3"/>
  <c r="P37" i="3"/>
  <c r="P43" i="3" s="1"/>
  <c r="AL42" i="3"/>
  <c r="AL37" i="3"/>
  <c r="AH42" i="3"/>
  <c r="AH37" i="3"/>
  <c r="AH43" i="3" s="1"/>
  <c r="N20" i="3"/>
  <c r="T65" i="3"/>
  <c r="T60" i="3"/>
  <c r="T66" i="3" s="1"/>
  <c r="AC65" i="3"/>
  <c r="AC60" i="3"/>
  <c r="N65" i="3"/>
  <c r="N60" i="3"/>
  <c r="AH65" i="3"/>
  <c r="AH60" i="3"/>
  <c r="AH66" i="3" s="1"/>
  <c r="I65" i="3"/>
  <c r="I60" i="3"/>
  <c r="I66" i="3" s="1"/>
  <c r="AC20" i="3"/>
  <c r="AG19" i="3"/>
  <c r="AG14" i="3"/>
  <c r="AG20" i="3" s="1"/>
  <c r="AJ19" i="3"/>
  <c r="AJ14" i="3"/>
  <c r="AJ20" i="3" s="1"/>
  <c r="H20" i="3"/>
  <c r="Z65" i="3"/>
  <c r="Z60" i="3"/>
  <c r="Z66" i="3" s="1"/>
  <c r="AJ65" i="3"/>
  <c r="AJ60" i="3"/>
  <c r="AJ66" i="3" s="1"/>
  <c r="AI65" i="3"/>
  <c r="AI60" i="3"/>
  <c r="AI66" i="3" s="1"/>
  <c r="N42" i="3"/>
  <c r="N37" i="3"/>
  <c r="L42" i="3"/>
  <c r="L37" i="3"/>
  <c r="L43" i="3" s="1"/>
  <c r="AI42" i="3"/>
  <c r="AI37" i="3"/>
  <c r="O42" i="3"/>
  <c r="O37" i="3"/>
  <c r="O43" i="3" s="1"/>
  <c r="Q42" i="3"/>
  <c r="Q37" i="3"/>
  <c r="Q43" i="3" s="1"/>
  <c r="D19" i="3"/>
  <c r="D14" i="3"/>
  <c r="S19" i="3"/>
  <c r="S14" i="3"/>
  <c r="V42" i="3"/>
  <c r="V37" i="3"/>
  <c r="I19" i="3"/>
  <c r="I14" i="3"/>
  <c r="I20" i="3" s="1"/>
  <c r="AA65" i="3"/>
  <c r="AA60" i="3"/>
  <c r="AA66" i="3" s="1"/>
  <c r="M14" i="3"/>
  <c r="M19" i="3"/>
  <c r="Z42" i="3"/>
  <c r="Z37" i="3"/>
  <c r="Z43" i="3" s="1"/>
  <c r="AE42" i="3"/>
  <c r="AE37" i="3"/>
  <c r="X65" i="3"/>
  <c r="X60" i="3"/>
  <c r="X66" i="3" s="1"/>
  <c r="R65" i="3"/>
  <c r="R60" i="3"/>
  <c r="R66" i="3" s="1"/>
  <c r="Q65" i="3"/>
  <c r="Q60" i="3"/>
  <c r="Q66" i="3" s="1"/>
  <c r="C31" i="3"/>
  <c r="C6" i="1"/>
  <c r="T42" i="3"/>
  <c r="T37" i="3"/>
  <c r="T43" i="3" s="1"/>
  <c r="AD19" i="3"/>
  <c r="AD14" i="3"/>
  <c r="U19" i="3"/>
  <c r="U14" i="3"/>
  <c r="U20" i="3" s="1"/>
  <c r="P65" i="3"/>
  <c r="P60" i="3"/>
  <c r="P66" i="3" s="1"/>
  <c r="AB19" i="3"/>
  <c r="AB14" i="3"/>
  <c r="AB20" i="3" s="1"/>
  <c r="P19" i="3"/>
  <c r="P14" i="3"/>
  <c r="P20" i="3" s="1"/>
  <c r="AL65" i="3"/>
  <c r="AL60" i="3"/>
  <c r="V65" i="3"/>
  <c r="V60" i="3"/>
  <c r="AG65" i="3"/>
  <c r="AG60" i="3"/>
  <c r="AG66" i="3" s="1"/>
  <c r="X19" i="3"/>
  <c r="X14" i="3"/>
  <c r="X20" i="3" s="1"/>
  <c r="AE19" i="3"/>
  <c r="AE14" i="3"/>
  <c r="AE20" i="3" s="1"/>
  <c r="L19" i="3"/>
  <c r="L14" i="3"/>
  <c r="L20" i="3" s="1"/>
  <c r="E43" i="3"/>
  <c r="V19" i="3"/>
  <c r="V14" i="3"/>
  <c r="V20" i="3" s="1"/>
  <c r="J42" i="3"/>
  <c r="J37" i="3"/>
  <c r="J43" i="3" s="1"/>
  <c r="Y14" i="3"/>
  <c r="Y20" i="3" s="1"/>
  <c r="AG37" i="3"/>
  <c r="AG43" i="3" s="1"/>
  <c r="AD65" i="3"/>
  <c r="AD60" i="3"/>
  <c r="C54" i="3"/>
  <c r="D6" i="1"/>
  <c r="Y65" i="3"/>
  <c r="Y60" i="3"/>
  <c r="AE65" i="3"/>
  <c r="AE60" i="3"/>
  <c r="AE66" i="3" s="1"/>
  <c r="S42" i="3"/>
  <c r="S37" i="3"/>
  <c r="S43" i="3" s="1"/>
  <c r="M65" i="3"/>
  <c r="M60" i="3"/>
  <c r="M66" i="3" s="1"/>
  <c r="L65" i="3"/>
  <c r="L60" i="3"/>
  <c r="W65" i="3"/>
  <c r="W60" i="3"/>
  <c r="AJ42" i="3"/>
  <c r="AJ37" i="3"/>
  <c r="W42" i="3"/>
  <c r="W37" i="3"/>
  <c r="W43" i="3" s="1"/>
  <c r="AD42" i="3"/>
  <c r="AD37" i="3"/>
  <c r="AD43" i="3" s="1"/>
  <c r="AI19" i="3"/>
  <c r="AI14" i="3"/>
  <c r="AI20" i="3" s="1"/>
  <c r="D42" i="3"/>
  <c r="D37" i="3"/>
  <c r="G14" i="3"/>
  <c r="G20" i="3" s="1"/>
  <c r="AF19" i="3"/>
  <c r="AF14" i="3"/>
  <c r="AF20" i="3" s="1"/>
  <c r="AI43" i="3" l="1"/>
  <c r="V66" i="3"/>
  <c r="AD20" i="3"/>
  <c r="AE43" i="3"/>
  <c r="C19" i="1" s="1"/>
  <c r="N43" i="3"/>
  <c r="M20" i="3"/>
  <c r="O20" i="3"/>
  <c r="AJ43" i="3"/>
  <c r="Y66" i="3"/>
  <c r="AL43" i="3"/>
  <c r="C12" i="1" s="1"/>
  <c r="R20" i="3"/>
  <c r="AC43" i="3"/>
  <c r="AH20" i="3"/>
  <c r="AF66" i="3"/>
  <c r="I43" i="3"/>
  <c r="M43" i="3"/>
  <c r="B12" i="1"/>
  <c r="B19" i="1"/>
  <c r="E20" i="3"/>
  <c r="N66" i="3"/>
  <c r="D11" i="1"/>
  <c r="U43" i="3"/>
  <c r="C11" i="1" s="1"/>
  <c r="AL66" i="3"/>
  <c r="V43" i="3"/>
  <c r="AC66" i="3"/>
  <c r="W66" i="3"/>
  <c r="S20" i="3"/>
  <c r="F20" i="3"/>
  <c r="D54" i="3"/>
  <c r="C55" i="3"/>
  <c r="C58" i="3" s="1"/>
  <c r="D43" i="3"/>
  <c r="C10" i="1" s="1"/>
  <c r="L66" i="3"/>
  <c r="D10" i="1" s="1"/>
  <c r="AD66" i="3"/>
  <c r="D12" i="1" s="1"/>
  <c r="C32" i="3"/>
  <c r="C35" i="3" s="1"/>
  <c r="D31" i="3"/>
  <c r="D20" i="3"/>
  <c r="D8" i="3"/>
  <c r="C9" i="3"/>
  <c r="C12" i="3" s="1"/>
  <c r="X43" i="3"/>
  <c r="Z20" i="3"/>
  <c r="B11" i="1" l="1"/>
  <c r="C21" i="3"/>
  <c r="C22" i="3" s="1"/>
  <c r="D9" i="3"/>
  <c r="D12" i="3" s="1"/>
  <c r="D21" i="3" s="1"/>
  <c r="E8" i="3"/>
  <c r="E31" i="3"/>
  <c r="D32" i="3"/>
  <c r="D35" i="3" s="1"/>
  <c r="D44" i="3" s="1"/>
  <c r="C67" i="3"/>
  <c r="C68" i="3" s="1"/>
  <c r="B10" i="1"/>
  <c r="D19" i="1"/>
  <c r="C44" i="3"/>
  <c r="C45" i="3" s="1"/>
  <c r="E54" i="3"/>
  <c r="D55" i="3"/>
  <c r="D58" i="3" s="1"/>
  <c r="D67" i="3" s="1"/>
  <c r="D68" i="3" l="1"/>
  <c r="C69" i="3"/>
  <c r="E32" i="3"/>
  <c r="E35" i="3" s="1"/>
  <c r="E44" i="3" s="1"/>
  <c r="F31" i="3"/>
  <c r="E9" i="3"/>
  <c r="E12" i="3" s="1"/>
  <c r="E21" i="3" s="1"/>
  <c r="F8" i="3"/>
  <c r="F54" i="3"/>
  <c r="E55" i="3"/>
  <c r="E58" i="3" s="1"/>
  <c r="D45" i="3"/>
  <c r="C46" i="3"/>
  <c r="D22" i="3"/>
  <c r="C23" i="3"/>
  <c r="E67" i="3" l="1"/>
  <c r="G31" i="3"/>
  <c r="F32" i="3"/>
  <c r="F35" i="3" s="1"/>
  <c r="F9" i="3"/>
  <c r="F12" i="3" s="1"/>
  <c r="G8" i="3"/>
  <c r="G54" i="3"/>
  <c r="F55" i="3"/>
  <c r="F58" i="3" s="1"/>
  <c r="F67" i="3" s="1"/>
  <c r="D23" i="3"/>
  <c r="E22" i="3"/>
  <c r="E45" i="3"/>
  <c r="D46" i="3"/>
  <c r="E68" i="3"/>
  <c r="D69" i="3"/>
  <c r="H54" i="3" l="1"/>
  <c r="G55" i="3"/>
  <c r="G58" i="3" s="1"/>
  <c r="G67" i="3" s="1"/>
  <c r="H8" i="3"/>
  <c r="G9" i="3"/>
  <c r="G12" i="3" s="1"/>
  <c r="G21" i="3" s="1"/>
  <c r="F21" i="3"/>
  <c r="F22" i="3" s="1"/>
  <c r="F68" i="3"/>
  <c r="E69" i="3"/>
  <c r="F44" i="3"/>
  <c r="H31" i="3"/>
  <c r="G32" i="3"/>
  <c r="G35" i="3" s="1"/>
  <c r="G44" i="3" s="1"/>
  <c r="F45" i="3"/>
  <c r="E46" i="3"/>
  <c r="E23" i="3"/>
  <c r="F23" i="3" l="1"/>
  <c r="G22" i="3"/>
  <c r="G68" i="3"/>
  <c r="F69" i="3"/>
  <c r="G45" i="3"/>
  <c r="F46" i="3"/>
  <c r="H32" i="3"/>
  <c r="H35" i="3" s="1"/>
  <c r="H44" i="3" s="1"/>
  <c r="I31" i="3"/>
  <c r="I8" i="3"/>
  <c r="H9" i="3"/>
  <c r="H12" i="3" s="1"/>
  <c r="I54" i="3"/>
  <c r="H55" i="3"/>
  <c r="H58" i="3" s="1"/>
  <c r="H67" i="3" l="1"/>
  <c r="J54" i="3"/>
  <c r="I55" i="3"/>
  <c r="I58" i="3" s="1"/>
  <c r="I67" i="3" s="1"/>
  <c r="H21" i="3"/>
  <c r="H22" i="3" s="1"/>
  <c r="J8" i="3"/>
  <c r="I9" i="3"/>
  <c r="I12" i="3" s="1"/>
  <c r="I21" i="3" s="1"/>
  <c r="I32" i="3"/>
  <c r="I35" i="3" s="1"/>
  <c r="I44" i="3" s="1"/>
  <c r="J31" i="3"/>
  <c r="H45" i="3"/>
  <c r="G46" i="3"/>
  <c r="H68" i="3"/>
  <c r="G69" i="3"/>
  <c r="G23" i="3"/>
  <c r="K8" i="3" l="1"/>
  <c r="J9" i="3"/>
  <c r="J12" i="3" s="1"/>
  <c r="J21" i="3" s="1"/>
  <c r="K31" i="3"/>
  <c r="J32" i="3"/>
  <c r="J35" i="3" s="1"/>
  <c r="J44" i="3" s="1"/>
  <c r="I22" i="3"/>
  <c r="H23" i="3"/>
  <c r="K54" i="3"/>
  <c r="J55" i="3"/>
  <c r="J58" i="3" s="1"/>
  <c r="J67" i="3" s="1"/>
  <c r="I68" i="3"/>
  <c r="H69" i="3"/>
  <c r="H46" i="3"/>
  <c r="I45" i="3"/>
  <c r="J22" i="3" l="1"/>
  <c r="I23" i="3"/>
  <c r="J45" i="3"/>
  <c r="I46" i="3"/>
  <c r="L54" i="3"/>
  <c r="K55" i="3"/>
  <c r="K58" i="3" s="1"/>
  <c r="K67" i="3" s="1"/>
  <c r="L31" i="3"/>
  <c r="K32" i="3"/>
  <c r="K35" i="3" s="1"/>
  <c r="K44" i="3" s="1"/>
  <c r="J68" i="3"/>
  <c r="I69" i="3"/>
  <c r="L8" i="3"/>
  <c r="K9" i="3"/>
  <c r="K12" i="3" s="1"/>
  <c r="K21" i="3" s="1"/>
  <c r="L9" i="3" l="1"/>
  <c r="L12" i="3" s="1"/>
  <c r="L21" i="3" s="1"/>
  <c r="M8" i="3"/>
  <c r="K68" i="3"/>
  <c r="J69" i="3"/>
  <c r="L32" i="3"/>
  <c r="L35" i="3" s="1"/>
  <c r="L44" i="3" s="1"/>
  <c r="M31" i="3"/>
  <c r="M54" i="3"/>
  <c r="L55" i="3"/>
  <c r="L58" i="3" s="1"/>
  <c r="L67" i="3" s="1"/>
  <c r="K45" i="3"/>
  <c r="J46" i="3"/>
  <c r="K22" i="3"/>
  <c r="J23" i="3"/>
  <c r="L22" i="3" l="1"/>
  <c r="K23" i="3"/>
  <c r="L45" i="3"/>
  <c r="K46" i="3"/>
  <c r="N54" i="3"/>
  <c r="M55" i="3"/>
  <c r="M58" i="3" s="1"/>
  <c r="M67" i="3" s="1"/>
  <c r="N31" i="3"/>
  <c r="M32" i="3"/>
  <c r="M35" i="3" s="1"/>
  <c r="M44" i="3" s="1"/>
  <c r="L68" i="3"/>
  <c r="K69" i="3"/>
  <c r="N8" i="3"/>
  <c r="M9" i="3"/>
  <c r="M12" i="3" s="1"/>
  <c r="M21" i="3" s="1"/>
  <c r="O8" i="3" l="1"/>
  <c r="N9" i="3"/>
  <c r="N12" i="3" s="1"/>
  <c r="N32" i="3"/>
  <c r="N35" i="3" s="1"/>
  <c r="O31" i="3"/>
  <c r="N55" i="3"/>
  <c r="N58" i="3" s="1"/>
  <c r="O54" i="3"/>
  <c r="M68" i="3"/>
  <c r="L69" i="3"/>
  <c r="M45" i="3"/>
  <c r="L46" i="3"/>
  <c r="L23" i="3"/>
  <c r="M22" i="3"/>
  <c r="P54" i="3" l="1"/>
  <c r="O55" i="3"/>
  <c r="O58" i="3" s="1"/>
  <c r="N21" i="3"/>
  <c r="B7" i="1"/>
  <c r="N22" i="3"/>
  <c r="M23" i="3"/>
  <c r="N45" i="3"/>
  <c r="M46" i="3"/>
  <c r="M69" i="3"/>
  <c r="N67" i="3"/>
  <c r="N68" i="3" s="1"/>
  <c r="D7" i="1"/>
  <c r="O32" i="3"/>
  <c r="O35" i="3" s="1"/>
  <c r="P31" i="3"/>
  <c r="N44" i="3"/>
  <c r="C7" i="1"/>
  <c r="P8" i="3"/>
  <c r="O9" i="3"/>
  <c r="O12" i="3" s="1"/>
  <c r="N69" i="3" l="1"/>
  <c r="O21" i="3"/>
  <c r="O22" i="3"/>
  <c r="N23" i="3"/>
  <c r="N46" i="3"/>
  <c r="P9" i="3"/>
  <c r="P12" i="3" s="1"/>
  <c r="P21" i="3" s="1"/>
  <c r="Q8" i="3"/>
  <c r="Q31" i="3"/>
  <c r="P32" i="3"/>
  <c r="P35" i="3" s="1"/>
  <c r="P44" i="3" s="1"/>
  <c r="O67" i="3"/>
  <c r="O68" i="3" s="1"/>
  <c r="O44" i="3"/>
  <c r="O45" i="3" s="1"/>
  <c r="Q54" i="3"/>
  <c r="P55" i="3"/>
  <c r="P58" i="3" s="1"/>
  <c r="P67" i="3" s="1"/>
  <c r="P68" i="3" l="1"/>
  <c r="O69" i="3"/>
  <c r="Q32" i="3"/>
  <c r="Q35" i="3" s="1"/>
  <c r="Q44" i="3" s="1"/>
  <c r="R31" i="3"/>
  <c r="R54" i="3"/>
  <c r="Q55" i="3"/>
  <c r="Q58" i="3" s="1"/>
  <c r="Q67" i="3" s="1"/>
  <c r="P22" i="3"/>
  <c r="O23" i="3"/>
  <c r="Q9" i="3"/>
  <c r="Q12" i="3" s="1"/>
  <c r="Q21" i="3" s="1"/>
  <c r="R8" i="3"/>
  <c r="P45" i="3"/>
  <c r="O46" i="3"/>
  <c r="R9" i="3" l="1"/>
  <c r="R12" i="3" s="1"/>
  <c r="R21" i="3" s="1"/>
  <c r="S8" i="3"/>
  <c r="P23" i="3"/>
  <c r="Q22" i="3"/>
  <c r="S54" i="3"/>
  <c r="R55" i="3"/>
  <c r="R58" i="3" s="1"/>
  <c r="S31" i="3"/>
  <c r="R32" i="3"/>
  <c r="R35" i="3" s="1"/>
  <c r="Q45" i="3"/>
  <c r="P46" i="3"/>
  <c r="Q68" i="3"/>
  <c r="P69" i="3"/>
  <c r="R44" i="3" l="1"/>
  <c r="T31" i="3"/>
  <c r="S32" i="3"/>
  <c r="S35" i="3" s="1"/>
  <c r="S44" i="3" s="1"/>
  <c r="R67" i="3"/>
  <c r="T8" i="3"/>
  <c r="S9" i="3"/>
  <c r="S12" i="3" s="1"/>
  <c r="R68" i="3"/>
  <c r="Q69" i="3"/>
  <c r="R45" i="3"/>
  <c r="Q46" i="3"/>
  <c r="T54" i="3"/>
  <c r="S55" i="3"/>
  <c r="S58" i="3" s="1"/>
  <c r="S67" i="3" s="1"/>
  <c r="R22" i="3"/>
  <c r="Q23" i="3"/>
  <c r="U8" i="3" l="1"/>
  <c r="T9" i="3"/>
  <c r="T12" i="3" s="1"/>
  <c r="T21" i="3" s="1"/>
  <c r="T32" i="3"/>
  <c r="T35" i="3" s="1"/>
  <c r="T44" i="3" s="1"/>
  <c r="U31" i="3"/>
  <c r="S68" i="3"/>
  <c r="R69" i="3"/>
  <c r="S21" i="3"/>
  <c r="S45" i="3"/>
  <c r="R46" i="3"/>
  <c r="S22" i="3"/>
  <c r="R23" i="3"/>
  <c r="U54" i="3"/>
  <c r="T55" i="3"/>
  <c r="T58" i="3" s="1"/>
  <c r="T67" i="3" l="1"/>
  <c r="S23" i="3"/>
  <c r="T22" i="3"/>
  <c r="T45" i="3"/>
  <c r="S46" i="3"/>
  <c r="T68" i="3"/>
  <c r="S69" i="3"/>
  <c r="V31" i="3"/>
  <c r="U32" i="3"/>
  <c r="U35" i="3" s="1"/>
  <c r="V54" i="3"/>
  <c r="U55" i="3"/>
  <c r="U58" i="3" s="1"/>
  <c r="U67" i="3" s="1"/>
  <c r="V8" i="3"/>
  <c r="U9" i="3"/>
  <c r="U12" i="3" s="1"/>
  <c r="U44" i="3" l="1"/>
  <c r="T23" i="3"/>
  <c r="W54" i="3"/>
  <c r="V55" i="3"/>
  <c r="V58" i="3" s="1"/>
  <c r="V67" i="3" s="1"/>
  <c r="W31" i="3"/>
  <c r="V32" i="3"/>
  <c r="V35" i="3" s="1"/>
  <c r="V44" i="3" s="1"/>
  <c r="U68" i="3"/>
  <c r="T69" i="3"/>
  <c r="T46" i="3"/>
  <c r="U45" i="3"/>
  <c r="U21" i="3"/>
  <c r="U22" i="3" s="1"/>
  <c r="W8" i="3"/>
  <c r="V9" i="3"/>
  <c r="V12" i="3" s="1"/>
  <c r="V21" i="3" s="1"/>
  <c r="X31" i="3" l="1"/>
  <c r="W32" i="3"/>
  <c r="W35" i="3" s="1"/>
  <c r="W44" i="3" s="1"/>
  <c r="V45" i="3"/>
  <c r="U46" i="3"/>
  <c r="V68" i="3"/>
  <c r="U69" i="3"/>
  <c r="X8" i="3"/>
  <c r="W9" i="3"/>
  <c r="W12" i="3" s="1"/>
  <c r="W21" i="3" s="1"/>
  <c r="X54" i="3"/>
  <c r="W55" i="3"/>
  <c r="W58" i="3" s="1"/>
  <c r="W67" i="3" s="1"/>
  <c r="V22" i="3"/>
  <c r="U23" i="3"/>
  <c r="W22" i="3" l="1"/>
  <c r="V23" i="3"/>
  <c r="X9" i="3"/>
  <c r="X12" i="3" s="1"/>
  <c r="X21" i="3" s="1"/>
  <c r="Y8" i="3"/>
  <c r="W45" i="3"/>
  <c r="V46" i="3"/>
  <c r="Y54" i="3"/>
  <c r="X55" i="3"/>
  <c r="X58" i="3" s="1"/>
  <c r="X67" i="3" s="1"/>
  <c r="W68" i="3"/>
  <c r="V69" i="3"/>
  <c r="X32" i="3"/>
  <c r="X35" i="3" s="1"/>
  <c r="X44" i="3" s="1"/>
  <c r="Y31" i="3"/>
  <c r="X68" i="3" l="1"/>
  <c r="W69" i="3"/>
  <c r="Z8" i="3"/>
  <c r="Y9" i="3"/>
  <c r="Y12" i="3" s="1"/>
  <c r="Y21" i="3" s="1"/>
  <c r="Z31" i="3"/>
  <c r="Y32" i="3"/>
  <c r="Y35" i="3" s="1"/>
  <c r="Y44" i="3" s="1"/>
  <c r="Z54" i="3"/>
  <c r="Y55" i="3"/>
  <c r="Y58" i="3" s="1"/>
  <c r="Y67" i="3" s="1"/>
  <c r="X45" i="3"/>
  <c r="W46" i="3"/>
  <c r="X22" i="3"/>
  <c r="W23" i="3"/>
  <c r="Z55" i="3" l="1"/>
  <c r="Z58" i="3" s="1"/>
  <c r="AA54" i="3"/>
  <c r="X23" i="3"/>
  <c r="Y22" i="3"/>
  <c r="Y45" i="3"/>
  <c r="X46" i="3"/>
  <c r="Z32" i="3"/>
  <c r="Z35" i="3" s="1"/>
  <c r="AA31" i="3"/>
  <c r="AA8" i="3"/>
  <c r="Z9" i="3"/>
  <c r="Z12" i="3" s="1"/>
  <c r="Y68" i="3"/>
  <c r="X69" i="3"/>
  <c r="Y69" i="3" l="1"/>
  <c r="AB8" i="3"/>
  <c r="AA9" i="3"/>
  <c r="AA32" i="3"/>
  <c r="AB31" i="3"/>
  <c r="Y23" i="3"/>
  <c r="Z21" i="3"/>
  <c r="Z22" i="3" s="1"/>
  <c r="B8" i="1"/>
  <c r="Z44" i="3"/>
  <c r="Z45" i="3" s="1"/>
  <c r="C8" i="1"/>
  <c r="Y46" i="3"/>
  <c r="AB54" i="3"/>
  <c r="AA55" i="3"/>
  <c r="Z67" i="3"/>
  <c r="Z68" i="3" s="1"/>
  <c r="D8" i="1"/>
  <c r="Z46" i="3" l="1"/>
  <c r="Z23" i="3"/>
  <c r="Z69" i="3"/>
  <c r="AC54" i="3"/>
  <c r="AB55" i="3"/>
  <c r="AB58" i="3" s="1"/>
  <c r="AB67" i="3" s="1"/>
  <c r="AC31" i="3"/>
  <c r="AB32" i="3"/>
  <c r="AB35" i="3" s="1"/>
  <c r="AB44" i="3" s="1"/>
  <c r="AA35" i="3"/>
  <c r="AA58" i="3"/>
  <c r="AA12" i="3"/>
  <c r="AB9" i="3"/>
  <c r="AB12" i="3" s="1"/>
  <c r="AB21" i="3" s="1"/>
  <c r="AC8" i="3"/>
  <c r="AD8" i="3" l="1"/>
  <c r="AC9" i="3"/>
  <c r="AC12" i="3" s="1"/>
  <c r="AC21" i="3" s="1"/>
  <c r="AA44" i="3"/>
  <c r="AA45" i="3" s="1"/>
  <c r="AC32" i="3"/>
  <c r="AD31" i="3"/>
  <c r="AD54" i="3"/>
  <c r="AC55" i="3"/>
  <c r="AC58" i="3" s="1"/>
  <c r="AC67" i="3" s="1"/>
  <c r="AA21" i="3"/>
  <c r="AA22" i="3" s="1"/>
  <c r="AA67" i="3"/>
  <c r="AA68" i="3" s="1"/>
  <c r="AE54" i="3" l="1"/>
  <c r="AD55" i="3"/>
  <c r="AD58" i="3" s="1"/>
  <c r="AD67" i="3" s="1"/>
  <c r="AB22" i="3"/>
  <c r="AA23" i="3"/>
  <c r="AE31" i="3"/>
  <c r="AD32" i="3"/>
  <c r="AD35" i="3" s="1"/>
  <c r="AD44" i="3" s="1"/>
  <c r="AC35" i="3"/>
  <c r="AB68" i="3"/>
  <c r="AA69" i="3"/>
  <c r="AB45" i="3"/>
  <c r="AA46" i="3"/>
  <c r="AD9" i="3"/>
  <c r="AE8" i="3"/>
  <c r="AC44" i="3" l="1"/>
  <c r="AF31" i="3"/>
  <c r="AE32" i="3"/>
  <c r="AE35" i="3" s="1"/>
  <c r="AE44" i="3" s="1"/>
  <c r="AD12" i="3"/>
  <c r="AB23" i="3"/>
  <c r="AC22" i="3"/>
  <c r="AC45" i="3"/>
  <c r="AB46" i="3"/>
  <c r="AF54" i="3"/>
  <c r="AE55" i="3"/>
  <c r="AE58" i="3" s="1"/>
  <c r="AC68" i="3"/>
  <c r="AB69" i="3"/>
  <c r="AF8" i="3"/>
  <c r="AE9" i="3"/>
  <c r="AE12" i="3" s="1"/>
  <c r="AE21" i="3" s="1"/>
  <c r="AD21" i="3" l="1"/>
  <c r="AD45" i="3"/>
  <c r="AC46" i="3"/>
  <c r="AG8" i="3"/>
  <c r="AF9" i="3"/>
  <c r="AF12" i="3" s="1"/>
  <c r="AF21" i="3" s="1"/>
  <c r="AD68" i="3"/>
  <c r="AC69" i="3"/>
  <c r="AE67" i="3"/>
  <c r="AC23" i="3"/>
  <c r="AD22" i="3"/>
  <c r="AF32" i="3"/>
  <c r="AG31" i="3"/>
  <c r="AG54" i="3"/>
  <c r="AF55" i="3"/>
  <c r="AF58" i="3" s="1"/>
  <c r="AF67" i="3" s="1"/>
  <c r="AH54" i="3" l="1"/>
  <c r="AG55" i="3"/>
  <c r="AG58" i="3" s="1"/>
  <c r="AG67" i="3" s="1"/>
  <c r="AE68" i="3"/>
  <c r="AD69" i="3"/>
  <c r="AG32" i="3"/>
  <c r="AG35" i="3" s="1"/>
  <c r="AG44" i="3" s="1"/>
  <c r="AH31" i="3"/>
  <c r="AE45" i="3"/>
  <c r="AD46" i="3"/>
  <c r="AF35" i="3"/>
  <c r="AH8" i="3"/>
  <c r="AG9" i="3"/>
  <c r="AG12" i="3" s="1"/>
  <c r="AG21" i="3" s="1"/>
  <c r="AD23" i="3"/>
  <c r="AE22" i="3"/>
  <c r="AI31" i="3" l="1"/>
  <c r="AH32" i="3"/>
  <c r="AE46" i="3"/>
  <c r="AI8" i="3"/>
  <c r="AH9" i="3"/>
  <c r="AH12" i="3" s="1"/>
  <c r="AF44" i="3"/>
  <c r="AF45" i="3" s="1"/>
  <c r="AE23" i="3"/>
  <c r="AF22" i="3"/>
  <c r="AF68" i="3"/>
  <c r="AE69" i="3"/>
  <c r="AI54" i="3"/>
  <c r="AH55" i="3"/>
  <c r="AH58" i="3" s="1"/>
  <c r="AF46" i="3" l="1"/>
  <c r="AG45" i="3"/>
  <c r="AG68" i="3"/>
  <c r="AF69" i="3"/>
  <c r="AF23" i="3"/>
  <c r="AG22" i="3"/>
  <c r="AH21" i="3"/>
  <c r="AJ8" i="3"/>
  <c r="AI9" i="3"/>
  <c r="AI12" i="3" s="1"/>
  <c r="AI21" i="3" s="1"/>
  <c r="AH67" i="3"/>
  <c r="AH35" i="3"/>
  <c r="AJ54" i="3"/>
  <c r="AI55" i="3"/>
  <c r="AI58" i="3" s="1"/>
  <c r="AI67" i="3" s="1"/>
  <c r="AJ31" i="3"/>
  <c r="AI32" i="3"/>
  <c r="AI35" i="3" s="1"/>
  <c r="AI44" i="3" s="1"/>
  <c r="AH22" i="3" l="1"/>
  <c r="AG23" i="3"/>
  <c r="AJ9" i="3"/>
  <c r="AJ12" i="3" s="1"/>
  <c r="AJ21" i="3" s="1"/>
  <c r="AK8" i="3"/>
  <c r="AJ32" i="3"/>
  <c r="AJ35" i="3" s="1"/>
  <c r="AJ44" i="3" s="1"/>
  <c r="AK31" i="3"/>
  <c r="AK54" i="3"/>
  <c r="AJ55" i="3"/>
  <c r="AJ58" i="3" s="1"/>
  <c r="AJ67" i="3" s="1"/>
  <c r="AH68" i="3"/>
  <c r="AG69" i="3"/>
  <c r="AH45" i="3"/>
  <c r="AG46" i="3"/>
  <c r="AH44" i="3"/>
  <c r="AL31" i="3" l="1"/>
  <c r="AL32" i="3" s="1"/>
  <c r="AK32" i="3"/>
  <c r="AK35" i="3" s="1"/>
  <c r="AK44" i="3" s="1"/>
  <c r="AI45" i="3"/>
  <c r="AH46" i="3"/>
  <c r="AK9" i="3"/>
  <c r="AK12" i="3" s="1"/>
  <c r="AK21" i="3" s="1"/>
  <c r="AL8" i="3"/>
  <c r="AL9" i="3" s="1"/>
  <c r="AI68" i="3"/>
  <c r="AH69" i="3"/>
  <c r="AL54" i="3"/>
  <c r="AL55" i="3" s="1"/>
  <c r="AK55" i="3"/>
  <c r="AK58" i="3" s="1"/>
  <c r="AK67" i="3" s="1"/>
  <c r="AI22" i="3"/>
  <c r="AH23" i="3"/>
  <c r="AJ22" i="3" l="1"/>
  <c r="AI23" i="3"/>
  <c r="AL12" i="3"/>
  <c r="B16" i="1"/>
  <c r="AL58" i="3"/>
  <c r="D16" i="1"/>
  <c r="AJ68" i="3"/>
  <c r="AI69" i="3"/>
  <c r="AJ45" i="3"/>
  <c r="AI46" i="3"/>
  <c r="AL35" i="3"/>
  <c r="C16" i="1"/>
  <c r="AL44" i="3" l="1"/>
  <c r="C15" i="1"/>
  <c r="C18" i="1"/>
  <c r="C17" i="1"/>
  <c r="C9" i="1"/>
  <c r="AK68" i="3"/>
  <c r="AJ69" i="3"/>
  <c r="AL67" i="3"/>
  <c r="D15" i="1"/>
  <c r="D18" i="1"/>
  <c r="D17" i="1"/>
  <c r="D9" i="1"/>
  <c r="AK45" i="3"/>
  <c r="AJ46" i="3"/>
  <c r="AL21" i="3"/>
  <c r="B15" i="1"/>
  <c r="B17" i="1"/>
  <c r="B18" i="1"/>
  <c r="B9" i="1"/>
  <c r="AJ23" i="3"/>
  <c r="AK22" i="3"/>
  <c r="AK23" i="3" l="1"/>
  <c r="AL22" i="3"/>
  <c r="AL68" i="3"/>
  <c r="AK69" i="3"/>
  <c r="AL45" i="3"/>
  <c r="AK46" i="3"/>
  <c r="AL46" i="3" l="1"/>
  <c r="C14" i="1" s="1"/>
  <c r="C13" i="1"/>
  <c r="AL69" i="3"/>
  <c r="D14" i="1" s="1"/>
  <c r="D13" i="1"/>
  <c r="AL23" i="3"/>
  <c r="B14" i="1" s="1"/>
  <c r="B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Первый чек</author>
  </authors>
  <commentList>
    <comment ref="C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Источники, п. 1</t>
        </r>
      </text>
    </comment>
    <comment ref="C7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Источники, пп. 2–3</t>
        </r>
      </text>
    </comment>
  </commentList>
</comments>
</file>

<file path=xl/sharedStrings.xml><?xml version="1.0" encoding="utf-8"?>
<sst xmlns="http://schemas.openxmlformats.org/spreadsheetml/2006/main" count="192" uniqueCount="133">
  <si>
    <t>«Первый чек»: эффект для банка, затраты и срок окупаемости</t>
  </si>
  <si>
    <t>Модель на 36 месяцев: месяцы 1–3 — подготовка и интеграция, 4–6 — пилот на группе клиентов, с 7-го — тиражирование. Суммы — млн ₽. Все допущения — на листе «Допущения», источники — на листе «Источники».</t>
  </si>
  <si>
    <t>Показатель</t>
  </si>
  <si>
    <t>Пессимистичный</t>
  </si>
  <si>
    <t>Базовый</t>
  </si>
  <si>
    <t>Оптимистичный</t>
  </si>
  <si>
    <t>Активных пользователей помощника на 36-й месяц</t>
  </si>
  <si>
    <t>Новых ИП за счёт помощника за 3 года</t>
  </si>
  <si>
    <t>Эффект, год 1</t>
  </si>
  <si>
    <t>Эффект, год 2</t>
  </si>
  <si>
    <t>Эффект, год 3</t>
  </si>
  <si>
    <t>Затраты, год 1</t>
  </si>
  <si>
    <t>Затраты, год 2</t>
  </si>
  <si>
    <t>Затраты, год 3</t>
  </si>
  <si>
    <t>Накопленный денежный поток за 3 года</t>
  </si>
  <si>
    <t>Срок окупаемости, месяцев</t>
  </si>
  <si>
    <t>ROI за 3 года</t>
  </si>
  <si>
    <t>Структура эффекта за год 3: доход от ИП</t>
  </si>
  <si>
    <t>Структура эффекта за год 3: экономия поддержки</t>
  </si>
  <si>
    <t>Структура эффекта за год 3: удержание клиентов</t>
  </si>
  <si>
    <t>Затраты на одного активного пользователя в год 3, ₽</t>
  </si>
  <si>
    <t>Как читать: эффект — дополнительный доход банка от ИП, открытых благодаря помощнику (только прирост), экономия поддержки и удержание самозанятых клиентов. Не учтены: остатки на картах самозанятых, доход от автоплатежа и чеков через банк (у банка эти сервисы уже есть), снижение штрафов клиентов. Пессимистичный сценарий за 3 года не окупается — это показывает, какие показатели пилота критичны: доля активных и конверсия в ИП.</t>
  </si>
  <si>
    <t>Финансовая модель «Первый чек» для банка — допущения</t>
  </si>
  <si>
    <t>Синий шрифт — вводимые значения, жёлтая заливка — ключевые рычаги сценариев. Все значения, кроме базы клиентов и роста рынка, — допущения команды; их заменяют данными банка и проверяют на пилоте.</t>
  </si>
  <si>
    <t>Параметр</t>
  </si>
  <si>
    <t>Единица</t>
  </si>
  <si>
    <t>Источник или обоснование</t>
  </si>
  <si>
    <t>Клиенты и запуск</t>
  </si>
  <si>
    <t>Самозанятых клиентов банка на старте</t>
  </si>
  <si>
    <t>чел.</t>
  </si>
  <si>
    <t>ВТБ: «число клиентов-самозанятых выросло на 43% и превысило 1 млн человек» по итогам 2025 года — Д. Бортников, «Газета.Ru», 18.02.2026 (см. «Источники», 1)</t>
  </si>
  <si>
    <t>Рост базы самозанятых клиентов в год</t>
  </si>
  <si>
    <t>% в год</t>
  </si>
  <si>
    <t>Рост рынка: 17,3 млн самозанятых в августе 2026, +2,9 млн за год (≈ +20%) — ФНС, ТАСС 21.08.2026 (Источники, 2). У ВТБ в 2025 году рост был выше (+43%) — берём рыночный, консервативно</t>
  </si>
  <si>
    <t>Пилотная группа</t>
  </si>
  <si>
    <t>клиентов</t>
  </si>
  <si>
    <t>Допущение: группа клиентов с согласием на анализ поступлений</t>
  </si>
  <si>
    <t>Месяц начала пилота</t>
  </si>
  <si>
    <t>мес.</t>
  </si>
  <si>
    <t>План: месяцы 1–3 — интервью, интеграция с операциями и сервисом банка</t>
  </si>
  <si>
    <t>Месяц начала тиражирования</t>
  </si>
  <si>
    <t>План: месяцы 4–6 — пилот, с 7-го — на всю базу</t>
  </si>
  <si>
    <t>Месяцев до выхода на целевую долю активных</t>
  </si>
  <si>
    <t>Допущение: линейный рост доли активных</t>
  </si>
  <si>
    <t>Сценарные рычаги</t>
  </si>
  <si>
    <t>Доля клиентов, пользующихся помощником хотя бы раз в месяц (MAU)</t>
  </si>
  <si>
    <t>% клиентов</t>
  </si>
  <si>
    <t>Допущение; измеряется на пилоте. Помощник встроен в приложение и сам пишет при поступлениях, поэтому активность выше, чем у раздела справки</t>
  </si>
  <si>
    <t>Из активных за год открывают ИП с расчётным счётом в банке</t>
  </si>
  <si>
    <t>Допущение; измеряется на пилоте. Основа — клиенты у лимита 2,4 млн ₽ и с растущим доходом</t>
  </si>
  <si>
    <t>Инкрементальность: доля этих ИП, которых без помощника банк бы не получил</t>
  </si>
  <si>
    <t>%</t>
  </si>
  <si>
    <t>Допущение: часть клиентов открыла бы ИП в банке и без помощника — учитываем только прирост</t>
  </si>
  <si>
    <t>Доход банка с одного ИП в год (РКО, эквайринг, остатки)</t>
  </si>
  <si>
    <t>₽ в год</t>
  </si>
  <si>
    <t>Допущение; банк заменяет своими данными по микробизнесу</t>
  </si>
  <si>
    <t>Снижение оттока активных самозанятых клиентов</t>
  </si>
  <si>
    <t>п.п. в год</t>
  </si>
  <si>
    <t>Допущение: доход за работу продолжает приходить на карту банка; в пессимистичном сценарии не учитывается</t>
  </si>
  <si>
    <t>Прочие эффекты</t>
  </si>
  <si>
    <t>Отток ИП в год</t>
  </si>
  <si>
    <t>Допущение: часть ИП закрывается или уходит в другой банк</t>
  </si>
  <si>
    <t>Обращений в поддержку по теме самозанятости на 1000 активных в месяц</t>
  </si>
  <si>
    <t>обращений</t>
  </si>
  <si>
    <t>Допущение; банк заменяет данными поддержки</t>
  </si>
  <si>
    <t>Доля таких обращений, которые закрывает помощник</t>
  </si>
  <si>
    <t>Допущение; на эталоне помощник отвечает со ссылкой на 21 из 25 новых вопросов по закону (eval/results/holdout.md)</t>
  </si>
  <si>
    <t>Стоимость одного обращения в поддержку</t>
  </si>
  <si>
    <t>₽</t>
  </si>
  <si>
    <t>Допущение</t>
  </si>
  <si>
    <t>Доход банка с клиента-самозанятого в год (карта, остатки, комиссии)</t>
  </si>
  <si>
    <t>Допущение; банк заменяет своими данными</t>
  </si>
  <si>
    <t>Затраты</t>
  </si>
  <si>
    <t>Полная стоимость сотрудника в месяц</t>
  </si>
  <si>
    <t>₽ в месяц</t>
  </si>
  <si>
    <t>Допущение: зарплата, налоги, рабочее место</t>
  </si>
  <si>
    <t>Команда разработки и интеграции до тиражирования</t>
  </si>
  <si>
    <t>FTE</t>
  </si>
  <si>
    <t>Допущение: 2 разработчика, ML-инженер, аналитик, тестировщик, менеджер</t>
  </si>
  <si>
    <t>Команда сопровождения и развития после тиражирования</t>
  </si>
  <si>
    <t>Юрист: проверка базы знаний и ответов специалистам</t>
  </si>
  <si>
    <t>Допущение: разъяснения ФНС опубликованы в разные годы, их нужно проверять</t>
  </si>
  <si>
    <t>Стоимость юриста в месяц</t>
  </si>
  <si>
    <t>Информационная безопасность: аудит, пентест, сопровождение</t>
  </si>
  <si>
    <t>Допущение; 152-ФЗ, требования ИБ банка</t>
  </si>
  <si>
    <t>Продвижение внутри приложения банка</t>
  </si>
  <si>
    <t>Допущение: баннеры и сценарии в приложении</t>
  </si>
  <si>
    <t>GPU-сервер в контуре банка</t>
  </si>
  <si>
    <t>Допущение. Прототип отвечает за ~1 с на одной видеокарте RTX 5070 (eval/results/latest.md); для банка — серверные видеокарты</t>
  </si>
  <si>
    <t>Эксплуатация серверов: ЦОД, электроэнергия, поддержка</t>
  </si>
  <si>
    <t>% стоимости в год</t>
  </si>
  <si>
    <t>Активных пользователей на один сервер</t>
  </si>
  <si>
    <t>Допущение с запасом: ~6 вопросов на пользователя в месяц; уведомления о поступлениях считает программа без языковой модели</t>
  </si>
  <si>
    <t>Минимум серверов (с резервом)</t>
  </si>
  <si>
    <t>шт.</t>
  </si>
  <si>
    <t>Один основной и один резервный</t>
  </si>
  <si>
    <t>Расчёт по месяцам, ₽ (36 месяцев, три сценария)</t>
  </si>
  <si>
    <t>Сценарий: Пессимистичный</t>
  </si>
  <si>
    <t>Месяц</t>
  </si>
  <si>
    <t>База самозанятых клиентов</t>
  </si>
  <si>
    <t>Активных пользователей помощника</t>
  </si>
  <si>
    <t>Новых ИП (прирост за счёт помощника)</t>
  </si>
  <si>
    <t>ИП на обслуживании</t>
  </si>
  <si>
    <t>Доход от ИП</t>
  </si>
  <si>
    <t>Экономия поддержки</t>
  </si>
  <si>
    <t>Удержание клиентов</t>
  </si>
  <si>
    <t>Эффект всего</t>
  </si>
  <si>
    <t>Серверов</t>
  </si>
  <si>
    <t>Закупка серверов</t>
  </si>
  <si>
    <t>Команда</t>
  </si>
  <si>
    <t>Юрист</t>
  </si>
  <si>
    <t>Информационная безопасность</t>
  </si>
  <si>
    <t>Продвижение</t>
  </si>
  <si>
    <t>Эксплуатация серверов</t>
  </si>
  <si>
    <t>Затраты всего</t>
  </si>
  <si>
    <t>Денежный поток</t>
  </si>
  <si>
    <t>Накопленный денежный поток</t>
  </si>
  <si>
    <t>Месяц окупаемости (отметка)</t>
  </si>
  <si>
    <t>Сценарий: Базовый</t>
  </si>
  <si>
    <t>Сценарий: Оптимистичный</t>
  </si>
  <si>
    <t>Источники</t>
  </si>
  <si>
    <t>ВТБ: по итогам 2025 года число клиентов-самозанятых выросло на 43% и превысило 1 млн; клиенты МСБ ВТБ сделали более 170 тыс. переводов самозанятым на 12,4 млрд ₽ — Д. Бортников, «Газета.Ru», 18.02.2026</t>
  </si>
  <si>
    <t>https://finance.mail.ru/article/samozanyatyie-rossiyane-stali-rekordno-vostrebovannyimi-69198919/</t>
  </si>
  <si>
    <t>ФНС (ТАСС): 17,3 млн самозанятых, за год +2,9 млн; выручка самозанятых за июль 2026 — 299,3 млрд ₽, начислено налогов — 13,4 млрд ₽ — 21.08.2026</t>
  </si>
  <si>
    <t>https://fomag.ru/news-streem/obshchee-kolichestvo-samozanyatykh-v-rossii-prevysilo-17-mln-chelovek-fns/</t>
  </si>
  <si>
    <t>Платформа данных ФНС: 17,263 млн самозанятых; 15,43 млн на конец 2025 года; в июле 2026 — 476,5 тыс. регистраций и 227,49 млн чеков — Sostav, 21.08.2026</t>
  </si>
  <si>
    <t>https://www.sostav.ru/publication/chislo-samozanyatykh-v-rossii-prevysilo-17-2-mln-86292.html</t>
  </si>
  <si>
    <t>ФНС: 53% самозанятых моложе 35 лет, 23% — моложе 26 лет; средний возраст 36 лет — nalog.gov.ru, 06.02.2025</t>
  </si>
  <si>
    <t>https://www.nalog.gov.ru/rn77/news/activities_fts/15703488/</t>
  </si>
  <si>
    <t>ВТБ: портрет самозанятых клиентов — поколение Z 16%, Y 48%, X 29% — Т—Ж, 18.06.2025</t>
  </si>
  <si>
    <t>https://t-j.ru/news/vtb-selfemployed-portrait/</t>
  </si>
  <si>
    <t>Качество помощника: эталонные прогоны прототипа</t>
  </si>
  <si>
    <t>https://github.com/imaO0O/vtb/tree/main/eval/results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</si>
</sst>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&quot;-&quot;"/>
    <numFmt numFmtId="165" formatCode="0.0%;\(0.0%\);&quot;-&quot;"/>
    <numFmt numFmtId="166" formatCode="0.0"/>
    <numFmt numFmtId="167" formatCode="#,##0.0"/>
    <numFmt numFmtId="168" formatCode="#,##0.0;\(#,##0.0\);&quot;-&quot;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1"/>
      <color rgb="FF5E6888"/>
      <name val="Arial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  <font>
      <sz val="11"/>
      <color rgb="FF0000FF"/>
      <name val="Arial"/>
    </font>
    <font>
      <sz val="11"/>
      <color rgb="FF808080"/>
      <name val="Arial"/>
    </font>
    <font>
      <sz val="11"/>
      <color rgb="FF3D4766"/>
      <name val="Arial"/>
    </font>
    <font>
      <sz val="11"/>
      <color rgb="FF008000"/>
      <name val="Arial"/>
    </font>
    <font>
      <u/>
      <sz val="11"/>
      <color rgb="FF2350C8"/>
      <name val="Arial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12204A"/>
      </patternFill>
    </fill>
    <fill>
      <patternFill patternType="solid">
        <fgColor rgb="FFEAF0FB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F2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1" fillId="0" borderId="0" xfId="0" applyFont="1"/>
    <xf numFmtId="0" fontId="3" fillId="2" borderId="0" xfId="0" applyFont="1" applyFill="1"/>
    <xf numFmtId="0" fontId="5" fillId="0" borderId="1" xfId="0" applyFont="1" applyBorder="1"/>
    <xf numFmtId="164" fontId="9" fillId="0" borderId="1" xfId="0" applyNumberFormat="1" applyFont="1" applyBorder="1" applyAlignment="1">
      <alignment horizontal="right"/>
    </xf>
    <xf numFmtId="168" fontId="9" fillId="0" borderId="1" xfId="0" applyNumberFormat="1" applyFont="1" applyBorder="1" applyAlignment="1">
      <alignment horizontal="right"/>
    </xf>
    <xf numFmtId="0" fontId="4" fillId="0" borderId="1" xfId="0" applyFont="1" applyBorder="1"/>
    <xf numFmtId="1" fontId="9" fillId="0" borderId="1" xfId="0" applyNumberFormat="1" applyFont="1" applyBorder="1" applyAlignment="1">
      <alignment horizontal="right"/>
    </xf>
    <xf numFmtId="165" fontId="9" fillId="0" borderId="1" xfId="0" applyNumberFormat="1" applyFont="1" applyBorder="1" applyAlignment="1">
      <alignment horizontal="right"/>
    </xf>
    <xf numFmtId="0" fontId="3" fillId="2" borderId="0" xfId="0" applyFont="1" applyFill="1" applyAlignment="1">
      <alignment vertical="center" wrapText="1"/>
    </xf>
    <xf numFmtId="0" fontId="4" fillId="3" borderId="0" xfId="0" applyFont="1" applyFill="1"/>
    <xf numFmtId="0" fontId="11" fillId="3" borderId="0" xfId="0" applyFont="1" applyFill="1"/>
    <xf numFmtId="0" fontId="5" fillId="0" borderId="1" xfId="0" applyFont="1" applyBorder="1" applyAlignment="1">
      <alignment vertical="top" wrapText="1"/>
    </xf>
    <xf numFmtId="164" fontId="7" fillId="0" borderId="1" xfId="0" applyNumberFormat="1" applyFont="1" applyBorder="1"/>
    <xf numFmtId="164" fontId="6" fillId="0" borderId="1" xfId="0" applyNumberFormat="1" applyFont="1" applyBorder="1"/>
    <xf numFmtId="0" fontId="8" fillId="0" borderId="1" xfId="0" applyFont="1" applyBorder="1" applyAlignment="1">
      <alignment vertical="top" wrapText="1"/>
    </xf>
    <xf numFmtId="165" fontId="7" fillId="0" borderId="1" xfId="0" applyNumberFormat="1" applyFont="1" applyBorder="1"/>
    <xf numFmtId="165" fontId="6" fillId="0" borderId="1" xfId="0" applyNumberFormat="1" applyFont="1" applyBorder="1"/>
    <xf numFmtId="165" fontId="6" fillId="4" borderId="1" xfId="0" applyNumberFormat="1" applyFont="1" applyFill="1" applyBorder="1"/>
    <xf numFmtId="164" fontId="6" fillId="4" borderId="1" xfId="0" applyNumberFormat="1" applyFont="1" applyFill="1" applyBorder="1"/>
    <xf numFmtId="166" fontId="7" fillId="0" borderId="1" xfId="0" applyNumberFormat="1" applyFont="1" applyBorder="1"/>
    <xf numFmtId="166" fontId="6" fillId="0" borderId="1" xfId="0" applyNumberFormat="1" applyFont="1" applyBorder="1"/>
    <xf numFmtId="0" fontId="11" fillId="2" borderId="0" xfId="0" applyFont="1" applyFill="1"/>
    <xf numFmtId="0" fontId="5" fillId="0" borderId="0" xfId="0" applyFont="1"/>
    <xf numFmtId="1" fontId="4" fillId="0" borderId="0" xfId="0" applyNumberFormat="1" applyFont="1"/>
    <xf numFmtId="164" fontId="5" fillId="0" borderId="0" xfId="0" applyNumberFormat="1" applyFont="1"/>
    <xf numFmtId="167" fontId="5" fillId="0" borderId="0" xfId="0" applyNumberFormat="1" applyFont="1"/>
    <xf numFmtId="0" fontId="4" fillId="0" borderId="0" xfId="0" applyFont="1"/>
    <xf numFmtId="1" fontId="5" fillId="0" borderId="0" xfId="0" applyNumberFormat="1" applyFont="1"/>
    <xf numFmtId="0" fontId="5" fillId="0" borderId="0" xfId="0" applyFont="1" applyAlignment="1">
      <alignment vertical="top" wrapText="1"/>
    </xf>
    <xf numFmtId="0" fontId="10" fillId="0" borderId="0" xfId="0" applyFont="1"/>
    <xf numFmtId="0" fontId="8" fillId="0" borderId="0" xfId="0" applyFont="1" applyAlignment="1">
      <alignment vertical="top" wrapText="1"/>
    </xf>
    <xf numFmtId="0" fontId="11" fillId="0" borderId="0" xfId="0" applyFont="1"/>
    <xf numFmtId="0" fontId="2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ostav.ru/publication/chislo-samozanyatykh-v-rossii-prevysilo-17-2-mln-86292.html" TargetMode="External"/><Relationship Id="rId2" Type="http://schemas.openxmlformats.org/officeDocument/2006/relationships/hyperlink" Target="https://fomag.ru/news-streem/obshchee-kolichestvo-samozanyatykh-v-rossii-prevysilo-17-mln-chelovek-fns/" TargetMode="External"/><Relationship Id="rId1" Type="http://schemas.openxmlformats.org/officeDocument/2006/relationships/hyperlink" Target="https://finance.mail.ru/article/samozanyatyie-rossiyane-stali-rekordno-vostrebovannyimi-69198919/" TargetMode="External"/><Relationship Id="rId6" Type="http://schemas.openxmlformats.org/officeDocument/2006/relationships/hyperlink" Target="https://github.com/imaO0O/vtb/tree/main/eval/results" TargetMode="External"/><Relationship Id="rId5" Type="http://schemas.openxmlformats.org/officeDocument/2006/relationships/hyperlink" Target="https://t-j.ru/news/vtb-selfemployed-portrait/" TargetMode="External"/><Relationship Id="rId4" Type="http://schemas.openxmlformats.org/officeDocument/2006/relationships/hyperlink" Target="https://www.nalog.gov.ru/rn77/news/activities_fts/1570348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/>
  </sheetViews>
  <sheetFormatPr defaultRowHeight="14.4" x14ac:dyDescent="0.3"/>
  <cols>
    <col min="1" max="1" width="56" customWidth="1"/>
    <col min="2" max="4" width="22" customWidth="1"/>
  </cols>
  <sheetData>
    <row r="1" spans="1:4" ht="17.399999999999999" x14ac:dyDescent="0.3">
      <c r="A1" s="1" t="s">
        <v>0</v>
      </c>
      <c r="B1" s="2"/>
      <c r="C1" s="2"/>
      <c r="D1" s="2"/>
    </row>
    <row r="2" spans="1:4" ht="45" customHeight="1" x14ac:dyDescent="0.3">
      <c r="A2" s="34" t="s">
        <v>1</v>
      </c>
      <c r="B2" s="33"/>
      <c r="C2" s="33"/>
      <c r="D2" s="33"/>
    </row>
    <row r="3" spans="1:4" x14ac:dyDescent="0.3">
      <c r="A3" s="2"/>
      <c r="B3" s="2"/>
      <c r="C3" s="2"/>
      <c r="D3" s="2"/>
    </row>
    <row r="4" spans="1:4" x14ac:dyDescent="0.3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3">
      <c r="A5" s="4" t="s">
        <v>6</v>
      </c>
      <c r="B5" s="5">
        <f>Расчёт!AL6</f>
        <v>172800</v>
      </c>
      <c r="C5" s="5">
        <f>Расчёт!AL29</f>
        <v>345600</v>
      </c>
      <c r="D5" s="5">
        <f>Расчёт!AL52</f>
        <v>518400</v>
      </c>
    </row>
    <row r="6" spans="1:4" x14ac:dyDescent="0.3">
      <c r="A6" s="4" t="s">
        <v>7</v>
      </c>
      <c r="B6" s="5">
        <f>SUM(Расчёт!C7:AL7)</f>
        <v>889.25145989424402</v>
      </c>
      <c r="C6" s="5">
        <f>SUM(Расчёт!C30:AL30)</f>
        <v>5928.3430659616261</v>
      </c>
      <c r="D6" s="5">
        <f>SUM(Расчёт!C53:AL53)</f>
        <v>16006.526278096389</v>
      </c>
    </row>
    <row r="7" spans="1:4" x14ac:dyDescent="0.3">
      <c r="A7" s="4" t="s">
        <v>8</v>
      </c>
      <c r="B7" s="6">
        <f>SUM(Расчёт!C12:N12)/10^6</f>
        <v>0.43220970893231614</v>
      </c>
      <c r="C7" s="6">
        <f>SUM(Расчёт!C35:N35)/10^6</f>
        <v>3.5515754657641887</v>
      </c>
      <c r="D7" s="6">
        <f>SUM(Расчёт!C58:N58)/10^6</f>
        <v>11.449325076598203</v>
      </c>
    </row>
    <row r="8" spans="1:4" x14ac:dyDescent="0.3">
      <c r="A8" s="4" t="s">
        <v>9</v>
      </c>
      <c r="B8" s="6">
        <f>SUM(Расчёт!O12:Z12)/10^6</f>
        <v>4.8977803935025461</v>
      </c>
      <c r="C8" s="6">
        <f>SUM(Расчёт!O35:Z35)/10^6</f>
        <v>45.898233962022601</v>
      </c>
      <c r="D8" s="6">
        <f>SUM(Расчёт!O58:Z58)/10^6</f>
        <v>160.03510814869441</v>
      </c>
    </row>
    <row r="9" spans="1:4" x14ac:dyDescent="0.3">
      <c r="A9" s="4" t="s">
        <v>10</v>
      </c>
      <c r="B9" s="6">
        <f>SUM(Расчёт!AA12:AL12)/10^6</f>
        <v>10.874282699791513</v>
      </c>
      <c r="C9" s="6">
        <f>SUM(Расчёт!AA35:AL35)/10^6</f>
        <v>109.4927648376829</v>
      </c>
      <c r="D9" s="6">
        <f>SUM(Расчёт!AA58:AL58)/10^6</f>
        <v>395.98223876966739</v>
      </c>
    </row>
    <row r="10" spans="1:4" x14ac:dyDescent="0.3">
      <c r="A10" s="4" t="s">
        <v>11</v>
      </c>
      <c r="B10" s="6">
        <f>SUM(Расчёт!C20:N20)/10^6</f>
        <v>34.599999999999994</v>
      </c>
      <c r="C10" s="6">
        <f>SUM(Расчёт!C43:N43)/10^6</f>
        <v>34.599999999999994</v>
      </c>
      <c r="D10" s="6">
        <f>SUM(Расчёт!C66:N66)/10^6</f>
        <v>38.649999999999991</v>
      </c>
    </row>
    <row r="11" spans="1:4" x14ac:dyDescent="0.3">
      <c r="A11" s="4" t="s">
        <v>12</v>
      </c>
      <c r="B11" s="6">
        <f>SUM(Расчёт!O20:Z20)/10^6</f>
        <v>19.899999999999999</v>
      </c>
      <c r="C11" s="6">
        <f>SUM(Расчёт!O43:Z43)/10^6</f>
        <v>24.449999999999996</v>
      </c>
      <c r="D11" s="6">
        <f>SUM(Расчёт!O66:Z66)/10^6</f>
        <v>24.949999999999996</v>
      </c>
    </row>
    <row r="12" spans="1:4" x14ac:dyDescent="0.3">
      <c r="A12" s="4" t="s">
        <v>13</v>
      </c>
      <c r="B12" s="6">
        <f>SUM(Расчёт!AA20:AL20)/10^6</f>
        <v>24.399999999999995</v>
      </c>
      <c r="C12" s="6">
        <f>SUM(Расчёт!AA43:AL43)/10^6</f>
        <v>24.999999999999996</v>
      </c>
      <c r="D12" s="6">
        <f>SUM(Расчёт!AA66:AL66)/10^6</f>
        <v>25.599999999999998</v>
      </c>
    </row>
    <row r="13" spans="1:4" x14ac:dyDescent="0.3">
      <c r="A13" s="7" t="s">
        <v>14</v>
      </c>
      <c r="B13" s="6">
        <f>Расчёт!AL22/10^6</f>
        <v>-62.695727197773614</v>
      </c>
      <c r="C13" s="6">
        <f>Расчёт!AL45/10^6</f>
        <v>74.892574265469705</v>
      </c>
      <c r="D13" s="6">
        <f>Расчёт!AL68/10^6</f>
        <v>478.26667199495984</v>
      </c>
    </row>
    <row r="14" spans="1:4" x14ac:dyDescent="0.3">
      <c r="A14" s="7" t="s">
        <v>15</v>
      </c>
      <c r="B14" s="8" t="str">
        <f>IF(COUNT(Расчёт!C23:AL23)=0,"не окупается за 36 мес.",MIN(Расчёт!C23:AL23))</f>
        <v>не окупается за 36 мес.</v>
      </c>
      <c r="C14" s="8">
        <f>IF(COUNT(Расчёт!C46:AL46)=0,"не окупается за 36 мес.",MIN(Расчёт!C46:AL46))</f>
        <v>26</v>
      </c>
      <c r="D14" s="8">
        <f>IF(COUNT(Расчёт!C69:AL69)=0,"не окупается за 36 мес.",MIN(Расчёт!C69:AL69))</f>
        <v>18</v>
      </c>
    </row>
    <row r="15" spans="1:4" x14ac:dyDescent="0.3">
      <c r="A15" s="4" t="s">
        <v>16</v>
      </c>
      <c r="B15" s="9">
        <f>IFERROR(SUM(Расчёт!C12:AL12)/SUM(Расчёт!C20:AL20)-1,0)</f>
        <v>-0.79462265142932353</v>
      </c>
      <c r="C15" s="9">
        <f>IFERROR(SUM(Расчёт!C35:AL35)/SUM(Расчёт!C43:AL43)-1,0)</f>
        <v>0.891047879422602</v>
      </c>
      <c r="D15" s="9">
        <f>IFERROR(SUM(Расчёт!C58:AL58)/SUM(Расчёт!C66:AL66)-1,0)</f>
        <v>5.3617339909748898</v>
      </c>
    </row>
    <row r="16" spans="1:4" x14ac:dyDescent="0.3">
      <c r="A16" s="4" t="s">
        <v>17</v>
      </c>
      <c r="B16" s="9">
        <f>IFERROR(SUM(Расчёт!AA9:AL9)/SUM(Расчёт!AA12:AL12),0)</f>
        <v>0.78922874497470141</v>
      </c>
      <c r="C16" s="9">
        <f>IFERROR(SUM(Расчёт!AA32:AL32)/SUM(Расчёт!AA35:AL35),0)</f>
        <v>0.87091462165755928</v>
      </c>
      <c r="D16" s="9">
        <f>IFERROR(SUM(Расчёт!AA55:AL55)/SUM(Расчёт!AA58:AL58),0)</f>
        <v>0.91028439457670685</v>
      </c>
    </row>
    <row r="17" spans="1:4" x14ac:dyDescent="0.3">
      <c r="A17" s="4" t="s">
        <v>18</v>
      </c>
      <c r="B17" s="9">
        <f>IFERROR(SUM(Расчёт!AA10:AL10)/SUM(Расчёт!AA12:AL12),0)</f>
        <v>0.2107712550252987</v>
      </c>
      <c r="C17" s="9">
        <f>IFERROR(SUM(Расчёт!AA33:AL33)/SUM(Расчёт!AA35:AL35),0)</f>
        <v>4.1865528111061881E-2</v>
      </c>
      <c r="D17" s="9">
        <f>IFERROR(SUM(Расчёт!AA56:AL56)/SUM(Расчёт!AA58:AL58),0)</f>
        <v>1.7364310727088987E-2</v>
      </c>
    </row>
    <row r="18" spans="1:4" x14ac:dyDescent="0.3">
      <c r="A18" s="4" t="s">
        <v>19</v>
      </c>
      <c r="B18" s="9">
        <f>IFERROR(SUM(Расчёт!AA11:AL11)/SUM(Расчёт!AA12:AL12),0)</f>
        <v>0</v>
      </c>
      <c r="C18" s="9">
        <f>IFERROR(SUM(Расчёт!AA34:AL34)/SUM(Расчёт!AA35:AL35),0)</f>
        <v>8.7219850231378876E-2</v>
      </c>
      <c r="D18" s="9">
        <f>IFERROR(SUM(Расчёт!AA57:AL57)/SUM(Расчёт!AA58:AL58),0)</f>
        <v>7.2351294696204105E-2</v>
      </c>
    </row>
    <row r="19" spans="1:4" x14ac:dyDescent="0.3">
      <c r="A19" s="4" t="s">
        <v>20</v>
      </c>
      <c r="B19" s="5">
        <f>IFERROR(SUM(Расчёт!AA20:AL20)/AVERAGE(Расчёт!AA6:AL6),0)</f>
        <v>153.29935151429794</v>
      </c>
      <c r="C19" s="5">
        <f>IFERROR(SUM(Расчёт!AA43:AL43)/AVERAGE(Расчёт!AA29:AL29),0)</f>
        <v>78.534503849537884</v>
      </c>
      <c r="D19" s="5">
        <f>IFERROR(SUM(Расчёт!AA66:AL66)/AVERAGE(Расчёт!AA52:AL52),0)</f>
        <v>53.612887961284528</v>
      </c>
    </row>
    <row r="20" spans="1:4" x14ac:dyDescent="0.3">
      <c r="A20" s="2"/>
      <c r="B20" s="2"/>
      <c r="C20" s="2"/>
      <c r="D20" s="2"/>
    </row>
    <row r="21" spans="1:4" ht="75" customHeight="1" x14ac:dyDescent="0.3">
      <c r="A21" s="32" t="s">
        <v>21</v>
      </c>
      <c r="B21" s="33"/>
      <c r="C21" s="33"/>
      <c r="D21" s="33"/>
    </row>
  </sheetData>
  <mergeCells count="2">
    <mergeCell ref="A21:D2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2" customWidth="1"/>
    <col min="2" max="5" width="16" customWidth="1"/>
    <col min="6" max="6" width="80" customWidth="1"/>
  </cols>
  <sheetData>
    <row r="1" spans="1:6" ht="17.399999999999999" x14ac:dyDescent="0.3">
      <c r="A1" s="1" t="s">
        <v>22</v>
      </c>
      <c r="B1" s="2"/>
      <c r="C1" s="2"/>
      <c r="D1" s="2"/>
      <c r="E1" s="2"/>
      <c r="F1" s="2"/>
    </row>
    <row r="2" spans="1:6" ht="30" customHeight="1" x14ac:dyDescent="0.3">
      <c r="A2" s="34" t="s">
        <v>23</v>
      </c>
      <c r="B2" s="33"/>
      <c r="C2" s="33"/>
      <c r="D2" s="33"/>
      <c r="E2" s="33"/>
      <c r="F2" s="33"/>
    </row>
    <row r="3" spans="1:6" x14ac:dyDescent="0.3">
      <c r="A3" s="2"/>
      <c r="B3" s="2"/>
      <c r="C3" s="2"/>
      <c r="D3" s="2"/>
      <c r="E3" s="2"/>
      <c r="F3" s="2"/>
    </row>
    <row r="4" spans="1:6" ht="27.6" x14ac:dyDescent="0.3">
      <c r="A4" s="10" t="s">
        <v>24</v>
      </c>
      <c r="B4" s="10" t="s">
        <v>3</v>
      </c>
      <c r="C4" s="10" t="s">
        <v>4</v>
      </c>
      <c r="D4" s="10" t="s">
        <v>5</v>
      </c>
      <c r="E4" s="10" t="s">
        <v>25</v>
      </c>
      <c r="F4" s="10" t="s">
        <v>26</v>
      </c>
    </row>
    <row r="5" spans="1:6" x14ac:dyDescent="0.3">
      <c r="A5" s="11" t="s">
        <v>27</v>
      </c>
      <c r="B5" s="12"/>
      <c r="C5" s="12"/>
      <c r="D5" s="12"/>
      <c r="E5" s="12"/>
      <c r="F5" s="12"/>
    </row>
    <row r="6" spans="1:6" ht="41.4" x14ac:dyDescent="0.3">
      <c r="A6" s="13" t="s">
        <v>28</v>
      </c>
      <c r="B6" s="14">
        <f>$C$6</f>
        <v>1000000</v>
      </c>
      <c r="C6" s="15">
        <v>1000000</v>
      </c>
      <c r="D6" s="14">
        <f>$C$6</f>
        <v>1000000</v>
      </c>
      <c r="E6" s="4" t="s">
        <v>29</v>
      </c>
      <c r="F6" s="16" t="s">
        <v>30</v>
      </c>
    </row>
    <row r="7" spans="1:6" ht="41.4" x14ac:dyDescent="0.3">
      <c r="A7" s="13" t="s">
        <v>31</v>
      </c>
      <c r="B7" s="17">
        <f>$C$7</f>
        <v>0.2</v>
      </c>
      <c r="C7" s="18">
        <v>0.2</v>
      </c>
      <c r="D7" s="17">
        <f>$C$7</f>
        <v>0.2</v>
      </c>
      <c r="E7" s="4" t="s">
        <v>32</v>
      </c>
      <c r="F7" s="16" t="s">
        <v>33</v>
      </c>
    </row>
    <row r="8" spans="1:6" x14ac:dyDescent="0.3">
      <c r="A8" s="13" t="s">
        <v>34</v>
      </c>
      <c r="B8" s="14">
        <f>$C$8</f>
        <v>20000</v>
      </c>
      <c r="C8" s="15">
        <v>20000</v>
      </c>
      <c r="D8" s="14">
        <f>$C$8</f>
        <v>20000</v>
      </c>
      <c r="E8" s="4" t="s">
        <v>35</v>
      </c>
      <c r="F8" s="16" t="s">
        <v>36</v>
      </c>
    </row>
    <row r="9" spans="1:6" x14ac:dyDescent="0.3">
      <c r="A9" s="13" t="s">
        <v>37</v>
      </c>
      <c r="B9" s="14">
        <f>$C$9</f>
        <v>4</v>
      </c>
      <c r="C9" s="15">
        <v>4</v>
      </c>
      <c r="D9" s="14">
        <f>$C$9</f>
        <v>4</v>
      </c>
      <c r="E9" s="4" t="s">
        <v>38</v>
      </c>
      <c r="F9" s="16" t="s">
        <v>39</v>
      </c>
    </row>
    <row r="10" spans="1:6" x14ac:dyDescent="0.3">
      <c r="A10" s="13" t="s">
        <v>40</v>
      </c>
      <c r="B10" s="14">
        <f>$C$10</f>
        <v>7</v>
      </c>
      <c r="C10" s="15">
        <v>7</v>
      </c>
      <c r="D10" s="14">
        <f>$C$10</f>
        <v>7</v>
      </c>
      <c r="E10" s="4" t="s">
        <v>38</v>
      </c>
      <c r="F10" s="16" t="s">
        <v>41</v>
      </c>
    </row>
    <row r="11" spans="1:6" x14ac:dyDescent="0.3">
      <c r="A11" s="13" t="s">
        <v>42</v>
      </c>
      <c r="B11" s="14">
        <f>$C$11</f>
        <v>12</v>
      </c>
      <c r="C11" s="15">
        <v>12</v>
      </c>
      <c r="D11" s="14">
        <f>$C$11</f>
        <v>12</v>
      </c>
      <c r="E11" s="4" t="s">
        <v>38</v>
      </c>
      <c r="F11" s="16" t="s">
        <v>43</v>
      </c>
    </row>
    <row r="12" spans="1:6" x14ac:dyDescent="0.3">
      <c r="A12" s="11" t="s">
        <v>44</v>
      </c>
      <c r="B12" s="12"/>
      <c r="C12" s="12"/>
      <c r="D12" s="12"/>
      <c r="E12" s="12"/>
      <c r="F12" s="12"/>
    </row>
    <row r="13" spans="1:6" ht="27.6" x14ac:dyDescent="0.3">
      <c r="A13" s="13" t="s">
        <v>45</v>
      </c>
      <c r="B13" s="19">
        <v>0.1</v>
      </c>
      <c r="C13" s="19">
        <v>0.2</v>
      </c>
      <c r="D13" s="19">
        <v>0.3</v>
      </c>
      <c r="E13" s="4" t="s">
        <v>46</v>
      </c>
      <c r="F13" s="16" t="s">
        <v>47</v>
      </c>
    </row>
    <row r="14" spans="1:6" ht="27.6" x14ac:dyDescent="0.3">
      <c r="A14" s="13" t="s">
        <v>48</v>
      </c>
      <c r="B14" s="19">
        <v>0.01</v>
      </c>
      <c r="C14" s="19">
        <v>0.02</v>
      </c>
      <c r="D14" s="19">
        <v>0.03</v>
      </c>
      <c r="E14" s="4" t="s">
        <v>32</v>
      </c>
      <c r="F14" s="16" t="s">
        <v>49</v>
      </c>
    </row>
    <row r="15" spans="1:6" ht="27.6" x14ac:dyDescent="0.3">
      <c r="A15" s="13" t="s">
        <v>50</v>
      </c>
      <c r="B15" s="19">
        <v>0.3</v>
      </c>
      <c r="C15" s="19">
        <v>0.5</v>
      </c>
      <c r="D15" s="19">
        <v>0.6</v>
      </c>
      <c r="E15" s="4" t="s">
        <v>51</v>
      </c>
      <c r="F15" s="16" t="s">
        <v>52</v>
      </c>
    </row>
    <row r="16" spans="1:6" ht="27.6" x14ac:dyDescent="0.3">
      <c r="A16" s="13" t="s">
        <v>53</v>
      </c>
      <c r="B16" s="20">
        <v>15000</v>
      </c>
      <c r="C16" s="20">
        <v>25000</v>
      </c>
      <c r="D16" s="20">
        <v>35000</v>
      </c>
      <c r="E16" s="4" t="s">
        <v>54</v>
      </c>
      <c r="F16" s="16" t="s">
        <v>55</v>
      </c>
    </row>
    <row r="17" spans="1:6" ht="27.6" x14ac:dyDescent="0.3">
      <c r="A17" s="13" t="s">
        <v>56</v>
      </c>
      <c r="B17" s="19">
        <v>0</v>
      </c>
      <c r="C17" s="19">
        <v>0.01</v>
      </c>
      <c r="D17" s="19">
        <v>0.02</v>
      </c>
      <c r="E17" s="4" t="s">
        <v>57</v>
      </c>
      <c r="F17" s="16" t="s">
        <v>58</v>
      </c>
    </row>
    <row r="18" spans="1:6" x14ac:dyDescent="0.3">
      <c r="A18" s="11" t="s">
        <v>59</v>
      </c>
      <c r="B18" s="12"/>
      <c r="C18" s="12"/>
      <c r="D18" s="12"/>
      <c r="E18" s="12"/>
      <c r="F18" s="12"/>
    </row>
    <row r="19" spans="1:6" x14ac:dyDescent="0.3">
      <c r="A19" s="13" t="s">
        <v>60</v>
      </c>
      <c r="B19" s="17">
        <f>$C$19</f>
        <v>0.2</v>
      </c>
      <c r="C19" s="18">
        <v>0.2</v>
      </c>
      <c r="D19" s="17">
        <f>$C$19</f>
        <v>0.2</v>
      </c>
      <c r="E19" s="4" t="s">
        <v>32</v>
      </c>
      <c r="F19" s="16" t="s">
        <v>61</v>
      </c>
    </row>
    <row r="20" spans="1:6" ht="27.6" x14ac:dyDescent="0.3">
      <c r="A20" s="13" t="s">
        <v>62</v>
      </c>
      <c r="B20" s="14">
        <f>$C$20</f>
        <v>20</v>
      </c>
      <c r="C20" s="15">
        <v>20</v>
      </c>
      <c r="D20" s="14">
        <f>$C$20</f>
        <v>20</v>
      </c>
      <c r="E20" s="4" t="s">
        <v>63</v>
      </c>
      <c r="F20" s="16" t="s">
        <v>64</v>
      </c>
    </row>
    <row r="21" spans="1:6" ht="27.6" x14ac:dyDescent="0.3">
      <c r="A21" s="13" t="s">
        <v>65</v>
      </c>
      <c r="B21" s="17">
        <f>$C$21</f>
        <v>0.4</v>
      </c>
      <c r="C21" s="18">
        <v>0.4</v>
      </c>
      <c r="D21" s="17">
        <f>$C$21</f>
        <v>0.4</v>
      </c>
      <c r="E21" s="4" t="s">
        <v>51</v>
      </c>
      <c r="F21" s="16" t="s">
        <v>66</v>
      </c>
    </row>
    <row r="22" spans="1:6" x14ac:dyDescent="0.3">
      <c r="A22" s="13" t="s">
        <v>67</v>
      </c>
      <c r="B22" s="14">
        <f>$C$22</f>
        <v>150</v>
      </c>
      <c r="C22" s="15">
        <v>150</v>
      </c>
      <c r="D22" s="14">
        <f>$C$22</f>
        <v>150</v>
      </c>
      <c r="E22" s="4" t="s">
        <v>68</v>
      </c>
      <c r="F22" s="16" t="s">
        <v>69</v>
      </c>
    </row>
    <row r="23" spans="1:6" ht="27.6" x14ac:dyDescent="0.3">
      <c r="A23" s="13" t="s">
        <v>70</v>
      </c>
      <c r="B23" s="14">
        <f>$C$23</f>
        <v>3000</v>
      </c>
      <c r="C23" s="15">
        <v>3000</v>
      </c>
      <c r="D23" s="14">
        <f>$C$23</f>
        <v>3000</v>
      </c>
      <c r="E23" s="4" t="s">
        <v>54</v>
      </c>
      <c r="F23" s="16" t="s">
        <v>71</v>
      </c>
    </row>
    <row r="24" spans="1:6" x14ac:dyDescent="0.3">
      <c r="A24" s="11" t="s">
        <v>72</v>
      </c>
      <c r="B24" s="12"/>
      <c r="C24" s="12"/>
      <c r="D24" s="12"/>
      <c r="E24" s="12"/>
      <c r="F24" s="12"/>
    </row>
    <row r="25" spans="1:6" x14ac:dyDescent="0.3">
      <c r="A25" s="13" t="s">
        <v>73</v>
      </c>
      <c r="B25" s="14">
        <f>$C$25</f>
        <v>400000</v>
      </c>
      <c r="C25" s="15">
        <v>400000</v>
      </c>
      <c r="D25" s="14">
        <f>$C$25</f>
        <v>400000</v>
      </c>
      <c r="E25" s="4" t="s">
        <v>74</v>
      </c>
      <c r="F25" s="16" t="s">
        <v>75</v>
      </c>
    </row>
    <row r="26" spans="1:6" x14ac:dyDescent="0.3">
      <c r="A26" s="13" t="s">
        <v>76</v>
      </c>
      <c r="B26" s="21">
        <f>$C$26</f>
        <v>6</v>
      </c>
      <c r="C26" s="22">
        <v>6</v>
      </c>
      <c r="D26" s="21">
        <f>$C$26</f>
        <v>6</v>
      </c>
      <c r="E26" s="4" t="s">
        <v>77</v>
      </c>
      <c r="F26" s="16" t="s">
        <v>78</v>
      </c>
    </row>
    <row r="27" spans="1:6" ht="27.6" x14ac:dyDescent="0.3">
      <c r="A27" s="13" t="s">
        <v>79</v>
      </c>
      <c r="B27" s="21">
        <f>$C$27</f>
        <v>3</v>
      </c>
      <c r="C27" s="22">
        <v>3</v>
      </c>
      <c r="D27" s="21">
        <f>$C$27</f>
        <v>3</v>
      </c>
      <c r="E27" s="4" t="s">
        <v>77</v>
      </c>
      <c r="F27" s="16" t="s">
        <v>69</v>
      </c>
    </row>
    <row r="28" spans="1:6" ht="27.6" x14ac:dyDescent="0.3">
      <c r="A28" s="13" t="s">
        <v>80</v>
      </c>
      <c r="B28" s="21">
        <f>$C$28</f>
        <v>0.5</v>
      </c>
      <c r="C28" s="22">
        <v>0.5</v>
      </c>
      <c r="D28" s="21">
        <f>$C$28</f>
        <v>0.5</v>
      </c>
      <c r="E28" s="4" t="s">
        <v>77</v>
      </c>
      <c r="F28" s="16" t="s">
        <v>81</v>
      </c>
    </row>
    <row r="29" spans="1:6" x14ac:dyDescent="0.3">
      <c r="A29" s="13" t="s">
        <v>82</v>
      </c>
      <c r="B29" s="14">
        <f>$C$29</f>
        <v>300000</v>
      </c>
      <c r="C29" s="15">
        <v>300000</v>
      </c>
      <c r="D29" s="14">
        <f>$C$29</f>
        <v>300000</v>
      </c>
      <c r="E29" s="4" t="s">
        <v>74</v>
      </c>
      <c r="F29" s="16" t="s">
        <v>69</v>
      </c>
    </row>
    <row r="30" spans="1:6" ht="27.6" x14ac:dyDescent="0.3">
      <c r="A30" s="13" t="s">
        <v>83</v>
      </c>
      <c r="B30" s="14">
        <f>$C$30</f>
        <v>1500000</v>
      </c>
      <c r="C30" s="15">
        <v>1500000</v>
      </c>
      <c r="D30" s="14">
        <f>$C$30</f>
        <v>1500000</v>
      </c>
      <c r="E30" s="4" t="s">
        <v>54</v>
      </c>
      <c r="F30" s="16" t="s">
        <v>84</v>
      </c>
    </row>
    <row r="31" spans="1:6" x14ac:dyDescent="0.3">
      <c r="A31" s="13" t="s">
        <v>85</v>
      </c>
      <c r="B31" s="14">
        <f>$C$31</f>
        <v>1000000</v>
      </c>
      <c r="C31" s="15">
        <v>1000000</v>
      </c>
      <c r="D31" s="14">
        <f>$C$31</f>
        <v>1000000</v>
      </c>
      <c r="E31" s="4" t="s">
        <v>54</v>
      </c>
      <c r="F31" s="16" t="s">
        <v>86</v>
      </c>
    </row>
    <row r="32" spans="1:6" ht="27.6" x14ac:dyDescent="0.3">
      <c r="A32" s="13" t="s">
        <v>87</v>
      </c>
      <c r="B32" s="14">
        <f>$C$32</f>
        <v>4000000</v>
      </c>
      <c r="C32" s="15">
        <v>4000000</v>
      </c>
      <c r="D32" s="14">
        <f>$C$32</f>
        <v>4000000</v>
      </c>
      <c r="E32" s="4" t="s">
        <v>68</v>
      </c>
      <c r="F32" s="16" t="s">
        <v>88</v>
      </c>
    </row>
    <row r="33" spans="1:6" ht="27.6" x14ac:dyDescent="0.3">
      <c r="A33" s="13" t="s">
        <v>89</v>
      </c>
      <c r="B33" s="17">
        <f>$C$33</f>
        <v>0.15</v>
      </c>
      <c r="C33" s="18">
        <v>0.15</v>
      </c>
      <c r="D33" s="17">
        <f>$C$33</f>
        <v>0.15</v>
      </c>
      <c r="E33" s="4" t="s">
        <v>90</v>
      </c>
      <c r="F33" s="16" t="s">
        <v>69</v>
      </c>
    </row>
    <row r="34" spans="1:6" ht="27.6" x14ac:dyDescent="0.3">
      <c r="A34" s="13" t="s">
        <v>91</v>
      </c>
      <c r="B34" s="14">
        <f>$C$34</f>
        <v>150000</v>
      </c>
      <c r="C34" s="15">
        <v>150000</v>
      </c>
      <c r="D34" s="14">
        <f>$C$34</f>
        <v>150000</v>
      </c>
      <c r="E34" s="4" t="s">
        <v>29</v>
      </c>
      <c r="F34" s="16" t="s">
        <v>92</v>
      </c>
    </row>
    <row r="35" spans="1:6" x14ac:dyDescent="0.3">
      <c r="A35" s="13" t="s">
        <v>93</v>
      </c>
      <c r="B35" s="14">
        <f>$C$35</f>
        <v>2</v>
      </c>
      <c r="C35" s="15">
        <v>2</v>
      </c>
      <c r="D35" s="14">
        <f>$C$35</f>
        <v>2</v>
      </c>
      <c r="E35" s="4" t="s">
        <v>94</v>
      </c>
      <c r="F35" s="16" t="s">
        <v>95</v>
      </c>
    </row>
  </sheetData>
  <mergeCells count="1">
    <mergeCell ref="A2:F2"/>
  </mergeCell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69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0" customWidth="1"/>
    <col min="3" max="38" width="13" customWidth="1"/>
  </cols>
  <sheetData>
    <row r="1" spans="1:38" ht="17.399999999999999" x14ac:dyDescent="0.3">
      <c r="A1" s="1" t="s">
        <v>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3">
      <c r="A3" s="3" t="s">
        <v>97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x14ac:dyDescent="0.3">
      <c r="A4" s="24" t="s">
        <v>98</v>
      </c>
      <c r="B4" s="2"/>
      <c r="C4" s="25">
        <v>1</v>
      </c>
      <c r="D4" s="25">
        <v>2</v>
      </c>
      <c r="E4" s="25">
        <v>3</v>
      </c>
      <c r="F4" s="25">
        <v>4</v>
      </c>
      <c r="G4" s="25">
        <v>5</v>
      </c>
      <c r="H4" s="25">
        <v>6</v>
      </c>
      <c r="I4" s="25">
        <v>7</v>
      </c>
      <c r="J4" s="25">
        <v>8</v>
      </c>
      <c r="K4" s="25">
        <v>9</v>
      </c>
      <c r="L4" s="25">
        <v>10</v>
      </c>
      <c r="M4" s="25">
        <v>11</v>
      </c>
      <c r="N4" s="25">
        <v>12</v>
      </c>
      <c r="O4" s="25">
        <v>13</v>
      </c>
      <c r="P4" s="25">
        <v>14</v>
      </c>
      <c r="Q4" s="25">
        <v>15</v>
      </c>
      <c r="R4" s="25">
        <v>16</v>
      </c>
      <c r="S4" s="25">
        <v>17</v>
      </c>
      <c r="T4" s="25">
        <v>18</v>
      </c>
      <c r="U4" s="25">
        <v>19</v>
      </c>
      <c r="V4" s="25">
        <v>20</v>
      </c>
      <c r="W4" s="25">
        <v>21</v>
      </c>
      <c r="X4" s="25">
        <v>22</v>
      </c>
      <c r="Y4" s="25">
        <v>23</v>
      </c>
      <c r="Z4" s="25">
        <v>24</v>
      </c>
      <c r="AA4" s="25">
        <v>25</v>
      </c>
      <c r="AB4" s="25">
        <v>26</v>
      </c>
      <c r="AC4" s="25">
        <v>27</v>
      </c>
      <c r="AD4" s="25">
        <v>28</v>
      </c>
      <c r="AE4" s="25">
        <v>29</v>
      </c>
      <c r="AF4" s="25">
        <v>30</v>
      </c>
      <c r="AG4" s="25">
        <v>31</v>
      </c>
      <c r="AH4" s="25">
        <v>32</v>
      </c>
      <c r="AI4" s="25">
        <v>33</v>
      </c>
      <c r="AJ4" s="25">
        <v>34</v>
      </c>
      <c r="AK4" s="25">
        <v>35</v>
      </c>
      <c r="AL4" s="25">
        <v>36</v>
      </c>
    </row>
    <row r="5" spans="1:38" x14ac:dyDescent="0.3">
      <c r="A5" s="24" t="s">
        <v>99</v>
      </c>
      <c r="B5" s="2"/>
      <c r="C5" s="26">
        <f>Допущения!$C$6*(1+Допущения!$C$7)^(C$4/12)</f>
        <v>1015309.4704997311</v>
      </c>
      <c r="D5" s="26">
        <f>Допущения!$C$6*(1+Допущения!$C$7)^(D$4/12)</f>
        <v>1030853.3208864445</v>
      </c>
      <c r="E5" s="26">
        <f>Допущения!$C$6*(1+Допущения!$C$7)^(E$4/12)</f>
        <v>1046635.1393921056</v>
      </c>
      <c r="F5" s="26">
        <f>Допущения!$C$6*(1+Допущения!$C$7)^(F$4/12)</f>
        <v>1062658.5691826111</v>
      </c>
      <c r="G5" s="26">
        <f>Допущения!$C$6*(1+Допущения!$C$7)^(G$4/12)</f>
        <v>1078927.3091987988</v>
      </c>
      <c r="H5" s="26">
        <f>Допущения!$C$6*(1+Допущения!$C$7)^(H$4/12)</f>
        <v>1095445.1150103321</v>
      </c>
      <c r="I5" s="26">
        <f>Допущения!$C$6*(1+Допущения!$C$7)^(I$4/12)</f>
        <v>1112215.7996826577</v>
      </c>
      <c r="J5" s="26">
        <f>Допущения!$C$6*(1+Допущения!$C$7)^(J$4/12)</f>
        <v>1129243.234657234</v>
      </c>
      <c r="K5" s="26">
        <f>Допущения!$C$6*(1+Допущения!$C$7)^(K$4/12)</f>
        <v>1146531.3506452402</v>
      </c>
      <c r="L5" s="26">
        <f>Допущения!$C$6*(1+Допущения!$C$7)^(L$4/12)</f>
        <v>1164084.1385349606</v>
      </c>
      <c r="M5" s="26">
        <f>Допущения!$C$6*(1+Допущения!$C$7)^(M$4/12)</f>
        <v>1181905.6503130666</v>
      </c>
      <c r="N5" s="26">
        <f>Допущения!$C$6*(1+Допущения!$C$7)^(N$4/12)</f>
        <v>1200000</v>
      </c>
      <c r="O5" s="26">
        <f>Допущения!$C$6*(1+Допущения!$C$7)^(O$4/12)</f>
        <v>1218371.3645996775</v>
      </c>
      <c r="P5" s="26">
        <f>Допущения!$C$6*(1+Допущения!$C$7)^(P$4/12)</f>
        <v>1237023.9850637335</v>
      </c>
      <c r="Q5" s="26">
        <f>Допущения!$C$6*(1+Допущения!$C$7)^(Q$4/12)</f>
        <v>1255962.1672705265</v>
      </c>
      <c r="R5" s="26">
        <f>Допущения!$C$6*(1+Допущения!$C$7)^(R$4/12)</f>
        <v>1275190.2830191334</v>
      </c>
      <c r="S5" s="26">
        <f>Допущения!$C$6*(1+Допущения!$C$7)^(S$4/12)</f>
        <v>1294712.7710385586</v>
      </c>
      <c r="T5" s="26">
        <f>Допущения!$C$6*(1+Допущения!$C$7)^(T$4/12)</f>
        <v>1314534.1380123987</v>
      </c>
      <c r="U5" s="26">
        <f>Допущения!$C$6*(1+Допущения!$C$7)^(U$4/12)</f>
        <v>1334658.9596191891</v>
      </c>
      <c r="V5" s="26">
        <f>Допущения!$C$6*(1+Допущения!$C$7)^(V$4/12)</f>
        <v>1355091.8815886809</v>
      </c>
      <c r="W5" s="26">
        <f>Допущения!$C$6*(1+Допущения!$C$7)^(W$4/12)</f>
        <v>1375837.6207742882</v>
      </c>
      <c r="X5" s="26">
        <f>Допущения!$C$6*(1+Допущения!$C$7)^(X$4/12)</f>
        <v>1396900.9662419525</v>
      </c>
      <c r="Y5" s="26">
        <f>Допущения!$C$6*(1+Допущения!$C$7)^(Y$4/12)</f>
        <v>1418286.7803756797</v>
      </c>
      <c r="Z5" s="26">
        <f>Допущения!$C$6*(1+Допущения!$C$7)^(Z$4/12)</f>
        <v>1440000</v>
      </c>
      <c r="AA5" s="26">
        <f>Допущения!$C$6*(1+Допущения!$C$7)^(AA$4/12)</f>
        <v>1462045.6375196129</v>
      </c>
      <c r="AB5" s="26">
        <f>Допущения!$C$6*(1+Допущения!$C$7)^(AB$4/12)</f>
        <v>1484428.7820764801</v>
      </c>
      <c r="AC5" s="26">
        <f>Допущения!$C$6*(1+Допущения!$C$7)^(AC$4/12)</f>
        <v>1507154.6007246319</v>
      </c>
      <c r="AD5" s="26">
        <f>Допущения!$C$6*(1+Допущения!$C$7)^(AD$4/12)</f>
        <v>1530228.33962296</v>
      </c>
      <c r="AE5" s="26">
        <f>Допущения!$C$6*(1+Допущения!$C$7)^(AE$4/12)</f>
        <v>1553655.32524627</v>
      </c>
      <c r="AF5" s="26">
        <f>Допущения!$C$6*(1+Допущения!$C$7)^(AF$4/12)</f>
        <v>1577440.9656148783</v>
      </c>
      <c r="AG5" s="26">
        <f>Допущения!$C$6*(1+Допущения!$C$7)^(AG$4/12)</f>
        <v>1601590.7515430269</v>
      </c>
      <c r="AH5" s="26">
        <f>Допущения!$C$6*(1+Допущения!$C$7)^(AH$4/12)</f>
        <v>1626110.2579064171</v>
      </c>
      <c r="AI5" s="26">
        <f>Допущения!$C$6*(1+Допущения!$C$7)^(AI$4/12)</f>
        <v>1651005.1449291457</v>
      </c>
      <c r="AJ5" s="26">
        <f>Допущения!$C$6*(1+Допущения!$C$7)^(AJ$4/12)</f>
        <v>1676281.159490343</v>
      </c>
      <c r="AK5" s="26">
        <f>Допущения!$C$6*(1+Допущения!$C$7)^(AK$4/12)</f>
        <v>1701944.1364508155</v>
      </c>
      <c r="AL5" s="26">
        <f>Допущения!$C$6*(1+Допущения!$C$7)^(AL$4/12)</f>
        <v>1728000</v>
      </c>
    </row>
    <row r="6" spans="1:38" x14ac:dyDescent="0.3">
      <c r="A6" s="24" t="s">
        <v>100</v>
      </c>
      <c r="B6" s="2"/>
      <c r="C6" s="26">
        <f>IF(C$4&lt;Допущения!$C$9,0,IF(C$4&lt;Допущения!$C$10,Допущения!$C$8*Допущения!$B$13,C5*Допущения!$B$13*MIN(1,(C$4-Допущения!$C$10+1)/Допущения!$C$11)))</f>
        <v>0</v>
      </c>
      <c r="D6" s="26">
        <f>IF(D$4&lt;Допущения!$C$9,0,IF(D$4&lt;Допущения!$C$10,Допущения!$C$8*Допущения!$B$13,D5*Допущения!$B$13*MIN(1,(D$4-Допущения!$C$10+1)/Допущения!$C$11)))</f>
        <v>0</v>
      </c>
      <c r="E6" s="26">
        <f>IF(E$4&lt;Допущения!$C$9,0,IF(E$4&lt;Допущения!$C$10,Допущения!$C$8*Допущения!$B$13,E5*Допущения!$B$13*MIN(1,(E$4-Допущения!$C$10+1)/Допущения!$C$11)))</f>
        <v>0</v>
      </c>
      <c r="F6" s="26">
        <f>IF(F$4&lt;Допущения!$C$9,0,IF(F$4&lt;Допущения!$C$10,Допущения!$C$8*Допущения!$B$13,F5*Допущения!$B$13*MIN(1,(F$4-Допущения!$C$10+1)/Допущения!$C$11)))</f>
        <v>2000</v>
      </c>
      <c r="G6" s="26">
        <f>IF(G$4&lt;Допущения!$C$9,0,IF(G$4&lt;Допущения!$C$10,Допущения!$C$8*Допущения!$B$13,G5*Допущения!$B$13*MIN(1,(G$4-Допущения!$C$10+1)/Допущения!$C$11)))</f>
        <v>2000</v>
      </c>
      <c r="H6" s="26">
        <f>IF(H$4&lt;Допущения!$C$9,0,IF(H$4&lt;Допущения!$C$10,Допущения!$C$8*Допущения!$B$13,H5*Допущения!$B$13*MIN(1,(H$4-Допущения!$C$10+1)/Допущения!$C$11)))</f>
        <v>2000</v>
      </c>
      <c r="I6" s="26">
        <f>IF(I$4&lt;Допущения!$C$9,0,IF(I$4&lt;Допущения!$C$10,Допущения!$C$8*Допущения!$B$13,I5*Допущения!$B$13*MIN(1,(I$4-Допущения!$C$10+1)/Допущения!$C$11)))</f>
        <v>9268.4649973554806</v>
      </c>
      <c r="J6" s="26">
        <f>IF(J$4&lt;Допущения!$C$9,0,IF(J$4&lt;Допущения!$C$10,Допущения!$C$8*Допущения!$B$13,J5*Допущения!$B$13*MIN(1,(J$4-Допущения!$C$10+1)/Допущения!$C$11)))</f>
        <v>18820.720577620566</v>
      </c>
      <c r="K6" s="26">
        <f>IF(K$4&lt;Допущения!$C$9,0,IF(K$4&lt;Допущения!$C$10,Допущения!$C$8*Допущения!$B$13,K5*Допущения!$B$13*MIN(1,(K$4-Допущения!$C$10+1)/Допущения!$C$11)))</f>
        <v>28663.283766131004</v>
      </c>
      <c r="L6" s="26">
        <f>IF(L$4&lt;Допущения!$C$9,0,IF(L$4&lt;Допущения!$C$10,Допущения!$C$8*Допущения!$B$13,L5*Допущения!$B$13*MIN(1,(L$4-Допущения!$C$10+1)/Допущения!$C$11)))</f>
        <v>38802.804617832022</v>
      </c>
      <c r="M6" s="26">
        <f>IF(M$4&lt;Допущения!$C$9,0,IF(M$4&lt;Допущения!$C$10,Допущения!$C$8*Допущения!$B$13,M5*Допущения!$B$13*MIN(1,(M$4-Допущения!$C$10+1)/Допущения!$C$11)))</f>
        <v>49246.068763044444</v>
      </c>
      <c r="N6" s="26">
        <f>IF(N$4&lt;Допущения!$C$9,0,IF(N$4&lt;Допущения!$C$10,Допущения!$C$8*Допущения!$B$13,N5*Допущения!$B$13*MIN(1,(N$4-Допущения!$C$10+1)/Допущения!$C$11)))</f>
        <v>60000</v>
      </c>
      <c r="O6" s="26">
        <f>IF(O$4&lt;Допущения!$C$9,0,IF(O$4&lt;Допущения!$C$10,Допущения!$C$8*Допущения!$B$13,O5*Допущения!$B$13*MIN(1,(O$4-Допущения!$C$10+1)/Допущения!$C$11)))</f>
        <v>71071.662934981199</v>
      </c>
      <c r="P6" s="26">
        <f>IF(P$4&lt;Допущения!$C$9,0,IF(P$4&lt;Допущения!$C$10,Допущения!$C$8*Допущения!$B$13,P5*Допущения!$B$13*MIN(1,(P$4-Допущения!$C$10+1)/Допущения!$C$11)))</f>
        <v>82468.265670915571</v>
      </c>
      <c r="Q6" s="26">
        <f>IF(Q$4&lt;Допущения!$C$9,0,IF(Q$4&lt;Допущения!$C$10,Допущения!$C$8*Допущения!$B$13,Q5*Допущения!$B$13*MIN(1,(Q$4-Допущения!$C$10+1)/Допущения!$C$11)))</f>
        <v>94197.162545289495</v>
      </c>
      <c r="R6" s="26">
        <f>IF(R$4&lt;Допущения!$C$9,0,IF(R$4&lt;Допущения!$C$10,Допущения!$C$8*Допущения!$B$13,R5*Допущения!$B$13*MIN(1,(R$4-Допущения!$C$10+1)/Допущения!$C$11)))</f>
        <v>106265.85691826112</v>
      </c>
      <c r="S6" s="26">
        <f>IF(S$4&lt;Допущения!$C$9,0,IF(S$4&lt;Допущения!$C$10,Допущения!$C$8*Допущения!$B$13,S5*Допущения!$B$13*MIN(1,(S$4-Допущения!$C$10+1)/Допущения!$C$11)))</f>
        <v>118682.00401186786</v>
      </c>
      <c r="T6" s="26">
        <f>IF(T$4&lt;Допущения!$C$9,0,IF(T$4&lt;Допущения!$C$10,Допущения!$C$8*Допущения!$B$13,T5*Допущения!$B$13*MIN(1,(T$4-Допущения!$C$10+1)/Допущения!$C$11)))</f>
        <v>131453.41380123989</v>
      </c>
      <c r="U6" s="26">
        <f>IF(U$4&lt;Допущения!$C$9,0,IF(U$4&lt;Допущения!$C$10,Допущения!$C$8*Допущения!$B$13,U5*Допущения!$B$13*MIN(1,(U$4-Допущения!$C$10+1)/Допущения!$C$11)))</f>
        <v>133465.89596191893</v>
      </c>
      <c r="V6" s="26">
        <f>IF(V$4&lt;Допущения!$C$9,0,IF(V$4&lt;Допущения!$C$10,Допущения!$C$8*Допущения!$B$13,V5*Допущения!$B$13*MIN(1,(V$4-Допущения!$C$10+1)/Допущения!$C$11)))</f>
        <v>135509.18815886808</v>
      </c>
      <c r="W6" s="26">
        <f>IF(W$4&lt;Допущения!$C$9,0,IF(W$4&lt;Допущения!$C$10,Допущения!$C$8*Допущения!$B$13,W5*Допущения!$B$13*MIN(1,(W$4-Допущения!$C$10+1)/Допущения!$C$11)))</f>
        <v>137583.76207742884</v>
      </c>
      <c r="X6" s="26">
        <f>IF(X$4&lt;Допущения!$C$9,0,IF(X$4&lt;Допущения!$C$10,Допущения!$C$8*Допущения!$B$13,X5*Допущения!$B$13*MIN(1,(X$4-Допущения!$C$10+1)/Допущения!$C$11)))</f>
        <v>139690.09662419526</v>
      </c>
      <c r="Y6" s="26">
        <f>IF(Y$4&lt;Допущения!$C$9,0,IF(Y$4&lt;Допущения!$C$10,Допущения!$C$8*Допущения!$B$13,Y5*Допущения!$B$13*MIN(1,(Y$4-Допущения!$C$10+1)/Допущения!$C$11)))</f>
        <v>141828.67803756797</v>
      </c>
      <c r="Z6" s="26">
        <f>IF(Z$4&lt;Допущения!$C$9,0,IF(Z$4&lt;Допущения!$C$10,Допущения!$C$8*Допущения!$B$13,Z5*Допущения!$B$13*MIN(1,(Z$4-Допущения!$C$10+1)/Допущения!$C$11)))</f>
        <v>144000</v>
      </c>
      <c r="AA6" s="26">
        <f>IF(AA$4&lt;Допущения!$C$9,0,IF(AA$4&lt;Допущения!$C$10,Допущения!$C$8*Допущения!$B$13,AA5*Допущения!$B$13*MIN(1,(AA$4-Допущения!$C$10+1)/Допущения!$C$11)))</f>
        <v>146204.56375196131</v>
      </c>
      <c r="AB6" s="26">
        <f>IF(AB$4&lt;Допущения!$C$9,0,IF(AB$4&lt;Допущения!$C$10,Допущения!$C$8*Допущения!$B$13,AB5*Допущения!$B$13*MIN(1,(AB$4-Допущения!$C$10+1)/Допущения!$C$11)))</f>
        <v>148442.87820764803</v>
      </c>
      <c r="AC6" s="26">
        <f>IF(AC$4&lt;Допущения!$C$9,0,IF(AC$4&lt;Допущения!$C$10,Допущения!$C$8*Допущения!$B$13,AC5*Допущения!$B$13*MIN(1,(AC$4-Допущения!$C$10+1)/Допущения!$C$11)))</f>
        <v>150715.4600724632</v>
      </c>
      <c r="AD6" s="26">
        <f>IF(AD$4&lt;Допущения!$C$9,0,IF(AD$4&lt;Допущения!$C$10,Допущения!$C$8*Допущения!$B$13,AD5*Допущения!$B$13*MIN(1,(AD$4-Допущения!$C$10+1)/Допущения!$C$11)))</f>
        <v>153022.83396229599</v>
      </c>
      <c r="AE6" s="26">
        <f>IF(AE$4&lt;Допущения!$C$9,0,IF(AE$4&lt;Допущения!$C$10,Допущения!$C$8*Допущения!$B$13,AE5*Допущения!$B$13*MIN(1,(AE$4-Допущения!$C$10+1)/Допущения!$C$11)))</f>
        <v>155365.53252462702</v>
      </c>
      <c r="AF6" s="26">
        <f>IF(AF$4&lt;Допущения!$C$9,0,IF(AF$4&lt;Допущения!$C$10,Допущения!$C$8*Допущения!$B$13,AF5*Допущения!$B$13*MIN(1,(AF$4-Допущения!$C$10+1)/Допущения!$C$11)))</f>
        <v>157744.09656148785</v>
      </c>
      <c r="AG6" s="26">
        <f>IF(AG$4&lt;Допущения!$C$9,0,IF(AG$4&lt;Допущения!$C$10,Допущения!$C$8*Допущения!$B$13,AG5*Допущения!$B$13*MIN(1,(AG$4-Допущения!$C$10+1)/Допущения!$C$11)))</f>
        <v>160159.0751543027</v>
      </c>
      <c r="AH6" s="26">
        <f>IF(AH$4&lt;Допущения!$C$9,0,IF(AH$4&lt;Допущения!$C$10,Допущения!$C$8*Допущения!$B$13,AH5*Допущения!$B$13*MIN(1,(AH$4-Допущения!$C$10+1)/Допущения!$C$11)))</f>
        <v>162611.02579064172</v>
      </c>
      <c r="AI6" s="26">
        <f>IF(AI$4&lt;Допущения!$C$9,0,IF(AI$4&lt;Допущения!$C$10,Допущения!$C$8*Допущения!$B$13,AI5*Допущения!$B$13*MIN(1,(AI$4-Допущения!$C$10+1)/Допущения!$C$11)))</f>
        <v>165100.51449291458</v>
      </c>
      <c r="AJ6" s="26">
        <f>IF(AJ$4&lt;Допущения!$C$9,0,IF(AJ$4&lt;Допущения!$C$10,Допущения!$C$8*Допущения!$B$13,AJ5*Допущения!$B$13*MIN(1,(AJ$4-Допущения!$C$10+1)/Допущения!$C$11)))</f>
        <v>167628.11594903431</v>
      </c>
      <c r="AK6" s="26">
        <f>IF(AK$4&lt;Допущения!$C$9,0,IF(AK$4&lt;Допущения!$C$10,Допущения!$C$8*Допущения!$B$13,AK5*Допущения!$B$13*MIN(1,(AK$4-Допущения!$C$10+1)/Допущения!$C$11)))</f>
        <v>170194.41364508157</v>
      </c>
      <c r="AL6" s="26">
        <f>IF(AL$4&lt;Допущения!$C$9,0,IF(AL$4&lt;Допущения!$C$10,Допущения!$C$8*Допущения!$B$13,AL5*Допущения!$B$13*MIN(1,(AL$4-Допущения!$C$10+1)/Допущения!$C$11)))</f>
        <v>172800</v>
      </c>
    </row>
    <row r="7" spans="1:38" x14ac:dyDescent="0.3">
      <c r="A7" s="24" t="s">
        <v>101</v>
      </c>
      <c r="B7" s="2"/>
      <c r="C7" s="27">
        <f>C6*Допущения!$B$14/12*Допущения!$B$15</f>
        <v>0</v>
      </c>
      <c r="D7" s="27">
        <f>D6*Допущения!$B$14/12*Допущения!$B$15</f>
        <v>0</v>
      </c>
      <c r="E7" s="27">
        <f>E6*Допущения!$B$14/12*Допущения!$B$15</f>
        <v>0</v>
      </c>
      <c r="F7" s="27">
        <f>F6*Допущения!$B$14/12*Допущения!$B$15</f>
        <v>0.5</v>
      </c>
      <c r="G7" s="27">
        <f>G6*Допущения!$B$14/12*Допущения!$B$15</f>
        <v>0.5</v>
      </c>
      <c r="H7" s="27">
        <f>H6*Допущения!$B$14/12*Допущения!$B$15</f>
        <v>0.5</v>
      </c>
      <c r="I7" s="27">
        <f>I6*Допущения!$B$14/12*Допущения!$B$15</f>
        <v>2.3171162493388704</v>
      </c>
      <c r="J7" s="27">
        <f>J6*Допущения!$B$14/12*Допущения!$B$15</f>
        <v>4.7051801444051415</v>
      </c>
      <c r="K7" s="27">
        <f>K6*Допущения!$B$14/12*Допущения!$B$15</f>
        <v>7.1658209415327505</v>
      </c>
      <c r="L7" s="27">
        <f>L6*Допущения!$B$14/12*Допущения!$B$15</f>
        <v>9.700701154458006</v>
      </c>
      <c r="M7" s="27">
        <f>M6*Допущения!$B$14/12*Допущения!$B$15</f>
        <v>12.31151719076111</v>
      </c>
      <c r="N7" s="27">
        <f>N6*Допущения!$B$14/12*Допущения!$B$15</f>
        <v>15</v>
      </c>
      <c r="O7" s="27">
        <f>O6*Допущения!$B$14/12*Допущения!$B$15</f>
        <v>17.767915733745301</v>
      </c>
      <c r="P7" s="27">
        <f>P6*Допущения!$B$14/12*Допущения!$B$15</f>
        <v>20.617066417728893</v>
      </c>
      <c r="Q7" s="27">
        <f>Q6*Допущения!$B$14/12*Допущения!$B$15</f>
        <v>23.549290636322372</v>
      </c>
      <c r="R7" s="27">
        <f>R6*Допущения!$B$14/12*Допущения!$B$15</f>
        <v>26.56646422956528</v>
      </c>
      <c r="S7" s="27">
        <f>S6*Допущения!$B$14/12*Допущения!$B$15</f>
        <v>29.670501002966965</v>
      </c>
      <c r="T7" s="27">
        <f>T6*Допущения!$B$14/12*Допущения!$B$15</f>
        <v>32.863353450309972</v>
      </c>
      <c r="U7" s="27">
        <f>U6*Допущения!$B$14/12*Допущения!$B$15</f>
        <v>33.366473990479733</v>
      </c>
      <c r="V7" s="27">
        <f>V6*Допущения!$B$14/12*Допущения!$B$15</f>
        <v>33.877297039717021</v>
      </c>
      <c r="W7" s="27">
        <f>W6*Допущения!$B$14/12*Допущения!$B$15</f>
        <v>34.395940519357204</v>
      </c>
      <c r="X7" s="27">
        <f>X6*Допущения!$B$14/12*Допущения!$B$15</f>
        <v>34.922524156048809</v>
      </c>
      <c r="Y7" s="27">
        <f>Y6*Допущения!$B$14/12*Допущения!$B$15</f>
        <v>35.457169509391989</v>
      </c>
      <c r="Z7" s="27">
        <f>Z6*Допущения!$B$14/12*Допущения!$B$15</f>
        <v>36</v>
      </c>
      <c r="AA7" s="27">
        <f>AA6*Допущения!$B$14/12*Допущения!$B$15</f>
        <v>36.551140937990326</v>
      </c>
      <c r="AB7" s="27">
        <f>AB6*Допущения!$B$14/12*Допущения!$B$15</f>
        <v>37.110719551912005</v>
      </c>
      <c r="AC7" s="27">
        <f>AC6*Допущения!$B$14/12*Допущения!$B$15</f>
        <v>37.6788650181158</v>
      </c>
      <c r="AD7" s="27">
        <f>AD6*Допущения!$B$14/12*Допущения!$B$15</f>
        <v>38.255708490574001</v>
      </c>
      <c r="AE7" s="27">
        <f>AE6*Допущения!$B$14/12*Допущения!$B$15</f>
        <v>38.841383131156753</v>
      </c>
      <c r="AF7" s="27">
        <f>AF6*Допущения!$B$14/12*Допущения!$B$15</f>
        <v>39.436024140371956</v>
      </c>
      <c r="AG7" s="27">
        <f>AG6*Допущения!$B$14/12*Допущения!$B$15</f>
        <v>40.039768788575671</v>
      </c>
      <c r="AH7" s="27">
        <f>AH6*Допущения!$B$14/12*Допущения!$B$15</f>
        <v>40.65275644766043</v>
      </c>
      <c r="AI7" s="27">
        <f>AI6*Допущения!$B$14/12*Допущения!$B$15</f>
        <v>41.275128623228646</v>
      </c>
      <c r="AJ7" s="27">
        <f>AJ6*Допущения!$B$14/12*Допущения!$B$15</f>
        <v>41.907028987258578</v>
      </c>
      <c r="AK7" s="27">
        <f>AK6*Допущения!$B$14/12*Допущения!$B$15</f>
        <v>42.548603411270392</v>
      </c>
      <c r="AL7" s="27">
        <f>AL6*Допущения!$B$14/12*Допущения!$B$15</f>
        <v>43.199999999999996</v>
      </c>
    </row>
    <row r="8" spans="1:38" x14ac:dyDescent="0.3">
      <c r="A8" s="24" t="s">
        <v>102</v>
      </c>
      <c r="B8" s="2"/>
      <c r="C8" s="27">
        <f>0*(1-Допущения!$C$19/12)+C7</f>
        <v>0</v>
      </c>
      <c r="D8" s="27">
        <f>C8*(1-Допущения!$C$19/12)+D7</f>
        <v>0</v>
      </c>
      <c r="E8" s="27">
        <f>D8*(1-Допущения!$C$19/12)+E7</f>
        <v>0</v>
      </c>
      <c r="F8" s="27">
        <f>E8*(1-Допущения!$C$19/12)+F7</f>
        <v>0.5</v>
      </c>
      <c r="G8" s="27">
        <f>F8*(1-Допущения!$C$19/12)+G7</f>
        <v>0.9916666666666667</v>
      </c>
      <c r="H8" s="27">
        <f>G8*(1-Допущения!$C$19/12)+H7</f>
        <v>1.475138888888889</v>
      </c>
      <c r="I8" s="27">
        <f>H8*(1-Допущения!$C$19/12)+I7</f>
        <v>3.7676694900796113</v>
      </c>
      <c r="J8" s="27">
        <f>I8*(1-Допущения!$C$19/12)+J7</f>
        <v>8.4100551429834258</v>
      </c>
      <c r="K8" s="27">
        <f>J8*(1-Допущения!$C$19/12)+K7</f>
        <v>15.435708498799785</v>
      </c>
      <c r="L8" s="27">
        <f>K8*(1-Допущения!$C$19/12)+L7</f>
        <v>24.879147844944463</v>
      </c>
      <c r="M8" s="27">
        <f>L8*(1-Допущения!$C$19/12)+M7</f>
        <v>36.776012571623163</v>
      </c>
      <c r="N8" s="27">
        <f>M8*(1-Допущения!$C$19/12)+N7</f>
        <v>51.163079028762773</v>
      </c>
      <c r="O8" s="27">
        <f>N8*(1-Допущения!$C$19/12)+O7</f>
        <v>68.078276778695354</v>
      </c>
      <c r="P8" s="27">
        <f>O8*(1-Допущения!$C$19/12)+P7</f>
        <v>87.560705250112647</v>
      </c>
      <c r="Q8" s="27">
        <f>P8*(1-Допущения!$C$19/12)+Q7</f>
        <v>109.65065079893313</v>
      </c>
      <c r="R8" s="27">
        <f>Q8*(1-Допущения!$C$19/12)+R7</f>
        <v>134.38960418184951</v>
      </c>
      <c r="S8" s="27">
        <f>R8*(1-Допущения!$C$19/12)+S7</f>
        <v>161.82027844845231</v>
      </c>
      <c r="T8" s="27">
        <f>S8*(1-Допущения!$C$19/12)+T7</f>
        <v>191.98662725795475</v>
      </c>
      <c r="U8" s="27">
        <f>T8*(1-Допущения!$C$19/12)+U7</f>
        <v>222.15332412746855</v>
      </c>
      <c r="V8" s="27">
        <f>U8*(1-Допущения!$C$19/12)+V7</f>
        <v>252.32806576506107</v>
      </c>
      <c r="W8" s="27">
        <f>V8*(1-Допущения!$C$19/12)+W7</f>
        <v>282.51853852166727</v>
      </c>
      <c r="X8" s="27">
        <f>W8*(1-Допущения!$C$19/12)+X7</f>
        <v>312.73242036902161</v>
      </c>
      <c r="Y8" s="27">
        <f>X8*(1-Допущения!$C$19/12)+Y7</f>
        <v>342.97738287226321</v>
      </c>
      <c r="Z8" s="27">
        <f>Y8*(1-Допущения!$C$19/12)+Z7</f>
        <v>373.26109315772544</v>
      </c>
      <c r="AA8" s="27">
        <f>Z8*(1-Допущения!$C$19/12)+AA7</f>
        <v>403.59121587642034</v>
      </c>
      <c r="AB8" s="27">
        <f>AA8*(1-Допущения!$C$19/12)+AB7</f>
        <v>433.9754151637253</v>
      </c>
      <c r="AC8" s="27">
        <f>AB8*(1-Допущения!$C$19/12)+AC7</f>
        <v>464.421356595779</v>
      </c>
      <c r="AD8" s="27">
        <f>AC8*(1-Допущения!$C$19/12)+AD7</f>
        <v>494.93670914309001</v>
      </c>
      <c r="AE8" s="27">
        <f>AD8*(1-Допущения!$C$19/12)+AE7</f>
        <v>525.52914712186191</v>
      </c>
      <c r="AF8" s="27">
        <f>AE8*(1-Допущения!$C$19/12)+AF7</f>
        <v>556.20635214353615</v>
      </c>
      <c r="AG8" s="27">
        <f>AF8*(1-Допущения!$C$19/12)+AG7</f>
        <v>586.97601506305284</v>
      </c>
      <c r="AH8" s="27">
        <f>AG8*(1-Допущения!$C$19/12)+AH7</f>
        <v>617.84583792632895</v>
      </c>
      <c r="AI8" s="27">
        <f>AH8*(1-Допущения!$C$19/12)+AI7</f>
        <v>648.82353591745209</v>
      </c>
      <c r="AJ8" s="27">
        <f>AI8*(1-Допущения!$C$19/12)+AJ7</f>
        <v>679.91683930608644</v>
      </c>
      <c r="AK8" s="27">
        <f>AJ8*(1-Допущения!$C$19/12)+AK7</f>
        <v>711.13349539558874</v>
      </c>
      <c r="AL8" s="27">
        <f>AK8*(1-Допущения!$C$19/12)+AL7</f>
        <v>742.4812704723289</v>
      </c>
    </row>
    <row r="9" spans="1:38" x14ac:dyDescent="0.3">
      <c r="A9" s="24" t="s">
        <v>103</v>
      </c>
      <c r="B9" s="2"/>
      <c r="C9" s="26">
        <f>C8*Допущения!$B$16/12</f>
        <v>0</v>
      </c>
      <c r="D9" s="26">
        <f>D8*Допущения!$B$16/12</f>
        <v>0</v>
      </c>
      <c r="E9" s="26">
        <f>E8*Допущения!$B$16/12</f>
        <v>0</v>
      </c>
      <c r="F9" s="26">
        <f>F8*Допущения!$B$16/12</f>
        <v>625</v>
      </c>
      <c r="G9" s="26">
        <f>G8*Допущения!$B$16/12</f>
        <v>1239.5833333333333</v>
      </c>
      <c r="H9" s="26">
        <f>H8*Допущения!$B$16/12</f>
        <v>1843.9236111111113</v>
      </c>
      <c r="I9" s="26">
        <f>I8*Допущения!$B$16/12</f>
        <v>4709.5868625995145</v>
      </c>
      <c r="J9" s="26">
        <f>J8*Допущения!$B$16/12</f>
        <v>10512.568928729283</v>
      </c>
      <c r="K9" s="26">
        <f>K8*Допущения!$B$16/12</f>
        <v>19294.635623499733</v>
      </c>
      <c r="L9" s="26">
        <f>L8*Допущения!$B$16/12</f>
        <v>31098.934806180579</v>
      </c>
      <c r="M9" s="26">
        <f>M8*Допущения!$B$16/12</f>
        <v>45970.015714528949</v>
      </c>
      <c r="N9" s="26">
        <f>N8*Допущения!$B$16/12</f>
        <v>63953.848785953473</v>
      </c>
      <c r="O9" s="26">
        <f>O8*Допущения!$B$16/12</f>
        <v>85097.845973369185</v>
      </c>
      <c r="P9" s="26">
        <f>P8*Допущения!$B$16/12</f>
        <v>109450.88156264082</v>
      </c>
      <c r="Q9" s="26">
        <f>Q8*Допущения!$B$16/12</f>
        <v>137063.31349866642</v>
      </c>
      <c r="R9" s="26">
        <f>R8*Допущения!$B$16/12</f>
        <v>167987.00522731189</v>
      </c>
      <c r="S9" s="26">
        <f>S8*Допущения!$B$16/12</f>
        <v>202275.34806056539</v>
      </c>
      <c r="T9" s="26">
        <f>T8*Допущения!$B$16/12</f>
        <v>239983.28407244346</v>
      </c>
      <c r="U9" s="26">
        <f>U8*Допущения!$B$16/12</f>
        <v>277691.6551593357</v>
      </c>
      <c r="V9" s="26">
        <f>V8*Допущения!$B$16/12</f>
        <v>315410.08220632636</v>
      </c>
      <c r="W9" s="26">
        <f>W8*Допущения!$B$16/12</f>
        <v>353148.17315208405</v>
      </c>
      <c r="X9" s="26">
        <f>X8*Допущения!$B$16/12</f>
        <v>390915.52546127699</v>
      </c>
      <c r="Y9" s="26">
        <f>Y8*Допущения!$B$16/12</f>
        <v>428721.728590329</v>
      </c>
      <c r="Z9" s="26">
        <f>Z8*Допущения!$B$16/12</f>
        <v>466576.36644715682</v>
      </c>
      <c r="AA9" s="26">
        <f>AA8*Допущения!$B$16/12</f>
        <v>504489.01984552544</v>
      </c>
      <c r="AB9" s="26">
        <f>AB8*Допущения!$B$16/12</f>
        <v>542469.26895465667</v>
      </c>
      <c r="AC9" s="26">
        <f>AC8*Допущения!$B$16/12</f>
        <v>580526.69574472378</v>
      </c>
      <c r="AD9" s="26">
        <f>AD8*Допущения!$B$16/12</f>
        <v>618670.88642886246</v>
      </c>
      <c r="AE9" s="26">
        <f>AE8*Допущения!$B$16/12</f>
        <v>656911.43390232732</v>
      </c>
      <c r="AF9" s="26">
        <f>AF8*Допущения!$B$16/12</f>
        <v>695257.94017942017</v>
      </c>
      <c r="AG9" s="26">
        <f>AG8*Допущения!$B$16/12</f>
        <v>733720.01882881613</v>
      </c>
      <c r="AH9" s="26">
        <f>AH8*Допущения!$B$16/12</f>
        <v>772307.29740791116</v>
      </c>
      <c r="AI9" s="26">
        <f>AI8*Допущения!$B$16/12</f>
        <v>811029.41989681509</v>
      </c>
      <c r="AJ9" s="26">
        <f>AJ8*Допущения!$B$16/12</f>
        <v>849896.04913260799</v>
      </c>
      <c r="AK9" s="26">
        <f>AK8*Допущения!$B$16/12</f>
        <v>888916.86924448598</v>
      </c>
      <c r="AL9" s="26">
        <f>AL8*Допущения!$B$16/12</f>
        <v>928101.58809041104</v>
      </c>
    </row>
    <row r="10" spans="1:38" x14ac:dyDescent="0.3">
      <c r="A10" s="24" t="s">
        <v>104</v>
      </c>
      <c r="B10" s="2"/>
      <c r="C10" s="26">
        <f>C6*Допущения!$C$20/1000*Допущения!$C$21*Допущения!$C$22</f>
        <v>0</v>
      </c>
      <c r="D10" s="26">
        <f>D6*Допущения!$C$20/1000*Допущения!$C$21*Допущения!$C$22</f>
        <v>0</v>
      </c>
      <c r="E10" s="26">
        <f>E6*Допущения!$C$20/1000*Допущения!$C$21*Допущения!$C$22</f>
        <v>0</v>
      </c>
      <c r="F10" s="26">
        <f>F6*Допущения!$C$20/1000*Допущения!$C$21*Допущения!$C$22</f>
        <v>2400</v>
      </c>
      <c r="G10" s="26">
        <f>G6*Допущения!$C$20/1000*Допущения!$C$21*Допущения!$C$22</f>
        <v>2400</v>
      </c>
      <c r="H10" s="26">
        <f>H6*Допущения!$C$20/1000*Допущения!$C$21*Допущения!$C$22</f>
        <v>2400</v>
      </c>
      <c r="I10" s="26">
        <f>I6*Допущения!$C$20/1000*Допущения!$C$21*Допущения!$C$22</f>
        <v>11122.157996826576</v>
      </c>
      <c r="J10" s="26">
        <f>J6*Допущения!$C$20/1000*Допущения!$C$21*Допущения!$C$22</f>
        <v>22584.864693144678</v>
      </c>
      <c r="K10" s="26">
        <f>K6*Допущения!$C$20/1000*Допущения!$C$21*Допущения!$C$22</f>
        <v>34395.940519357202</v>
      </c>
      <c r="L10" s="26">
        <f>L6*Допущения!$C$20/1000*Допущения!$C$21*Допущения!$C$22</f>
        <v>46563.365541398431</v>
      </c>
      <c r="M10" s="26">
        <f>M6*Допущения!$C$20/1000*Допущения!$C$21*Допущения!$C$22</f>
        <v>59095.282515653329</v>
      </c>
      <c r="N10" s="26">
        <f>N6*Допущения!$C$20/1000*Допущения!$C$21*Допущения!$C$22</f>
        <v>72000</v>
      </c>
      <c r="O10" s="26">
        <f>O6*Допущения!$C$20/1000*Допущения!$C$21*Допущения!$C$22</f>
        <v>85285.995521977427</v>
      </c>
      <c r="P10" s="26">
        <f>P6*Допущения!$C$20/1000*Допущения!$C$21*Допущения!$C$22</f>
        <v>98961.9188050987</v>
      </c>
      <c r="Q10" s="26">
        <f>Q6*Допущения!$C$20/1000*Допущения!$C$21*Допущения!$C$22</f>
        <v>113036.5950543474</v>
      </c>
      <c r="R10" s="26">
        <f>R6*Допущения!$C$20/1000*Допущения!$C$21*Допущения!$C$22</f>
        <v>127519.02830191336</v>
      </c>
      <c r="S10" s="26">
        <f>S6*Допущения!$C$20/1000*Допущения!$C$21*Допущения!$C$22</f>
        <v>142418.40481424142</v>
      </c>
      <c r="T10" s="26">
        <f>T6*Допущения!$C$20/1000*Допущения!$C$21*Допущения!$C$22</f>
        <v>157744.09656148788</v>
      </c>
      <c r="U10" s="26">
        <f>U6*Допущения!$C$20/1000*Допущения!$C$21*Допущения!$C$22</f>
        <v>160159.07515430267</v>
      </c>
      <c r="V10" s="26">
        <f>V6*Допущения!$C$20/1000*Допущения!$C$21*Допущения!$C$22</f>
        <v>162611.02579064172</v>
      </c>
      <c r="W10" s="26">
        <f>W6*Допущения!$C$20/1000*Допущения!$C$21*Допущения!$C$22</f>
        <v>165100.5144929146</v>
      </c>
      <c r="X10" s="26">
        <f>X6*Допущения!$C$20/1000*Допущения!$C$21*Допущения!$C$22</f>
        <v>167628.11594903431</v>
      </c>
      <c r="Y10" s="26">
        <f>Y6*Допущения!$C$20/1000*Допущения!$C$21*Допущения!$C$22</f>
        <v>170194.41364508157</v>
      </c>
      <c r="Z10" s="26">
        <f>Z6*Допущения!$C$20/1000*Допущения!$C$21*Допущения!$C$22</f>
        <v>172800</v>
      </c>
      <c r="AA10" s="26">
        <f>AA6*Допущения!$C$20/1000*Допущения!$C$21*Допущения!$C$22</f>
        <v>175445.47650235359</v>
      </c>
      <c r="AB10" s="26">
        <f>AB6*Допущения!$C$20/1000*Допущения!$C$21*Допущения!$C$22</f>
        <v>178131.45384917763</v>
      </c>
      <c r="AC10" s="26">
        <f>AC6*Допущения!$C$20/1000*Допущения!$C$21*Допущения!$C$22</f>
        <v>180858.55208695584</v>
      </c>
      <c r="AD10" s="26">
        <f>AD6*Допущения!$C$20/1000*Допущения!$C$21*Допущения!$C$22</f>
        <v>183627.40075475522</v>
      </c>
      <c r="AE10" s="26">
        <f>AE6*Допущения!$C$20/1000*Допущения!$C$21*Допущения!$C$22</f>
        <v>186438.63902955246</v>
      </c>
      <c r="AF10" s="26">
        <f>AF6*Допущения!$C$20/1000*Допущения!$C$21*Допущения!$C$22</f>
        <v>189292.91587378545</v>
      </c>
      <c r="AG10" s="26">
        <f>AG6*Допущения!$C$20/1000*Допущения!$C$21*Допущения!$C$22</f>
        <v>192190.89018516327</v>
      </c>
      <c r="AH10" s="26">
        <f>AH6*Допущения!$C$20/1000*Допущения!$C$21*Допущения!$C$22</f>
        <v>195133.2309487701</v>
      </c>
      <c r="AI10" s="26">
        <f>AI6*Допущения!$C$20/1000*Допущения!$C$21*Допущения!$C$22</f>
        <v>198120.61739149751</v>
      </c>
      <c r="AJ10" s="26">
        <f>AJ6*Допущения!$C$20/1000*Допущения!$C$21*Допущения!$C$22</f>
        <v>201153.73913884119</v>
      </c>
      <c r="AK10" s="26">
        <f>AK6*Допущения!$C$20/1000*Допущения!$C$21*Допущения!$C$22</f>
        <v>204233.29637409787</v>
      </c>
      <c r="AL10" s="26">
        <f>AL6*Допущения!$C$20/1000*Допущения!$C$21*Допущения!$C$22</f>
        <v>207360</v>
      </c>
    </row>
    <row r="11" spans="1:38" x14ac:dyDescent="0.3">
      <c r="A11" s="24" t="s">
        <v>105</v>
      </c>
      <c r="B11" s="2"/>
      <c r="C11" s="26">
        <f>C6*Допущения!$B$17*Допущения!$C$23/12</f>
        <v>0</v>
      </c>
      <c r="D11" s="26">
        <f>D6*Допущения!$B$17*Допущения!$C$23/12</f>
        <v>0</v>
      </c>
      <c r="E11" s="26">
        <f>E6*Допущения!$B$17*Допущения!$C$23/12</f>
        <v>0</v>
      </c>
      <c r="F11" s="26">
        <f>F6*Допущения!$B$17*Допущения!$C$23/12</f>
        <v>0</v>
      </c>
      <c r="G11" s="26">
        <f>G6*Допущения!$B$17*Допущения!$C$23/12</f>
        <v>0</v>
      </c>
      <c r="H11" s="26">
        <f>H6*Допущения!$B$17*Допущения!$C$23/12</f>
        <v>0</v>
      </c>
      <c r="I11" s="26">
        <f>I6*Допущения!$B$17*Допущения!$C$23/12</f>
        <v>0</v>
      </c>
      <c r="J11" s="26">
        <f>J6*Допущения!$B$17*Допущения!$C$23/12</f>
        <v>0</v>
      </c>
      <c r="K11" s="26">
        <f>K6*Допущения!$B$17*Допущения!$C$23/12</f>
        <v>0</v>
      </c>
      <c r="L11" s="26">
        <f>L6*Допущения!$B$17*Допущения!$C$23/12</f>
        <v>0</v>
      </c>
      <c r="M11" s="26">
        <f>M6*Допущения!$B$17*Допущения!$C$23/12</f>
        <v>0</v>
      </c>
      <c r="N11" s="26">
        <f>N6*Допущения!$B$17*Допущения!$C$23/12</f>
        <v>0</v>
      </c>
      <c r="O11" s="26">
        <f>O6*Допущения!$B$17*Допущения!$C$23/12</f>
        <v>0</v>
      </c>
      <c r="P11" s="26">
        <f>P6*Допущения!$B$17*Допущения!$C$23/12</f>
        <v>0</v>
      </c>
      <c r="Q11" s="26">
        <f>Q6*Допущения!$B$17*Допущения!$C$23/12</f>
        <v>0</v>
      </c>
      <c r="R11" s="26">
        <f>R6*Допущения!$B$17*Допущения!$C$23/12</f>
        <v>0</v>
      </c>
      <c r="S11" s="26">
        <f>S6*Допущения!$B$17*Допущения!$C$23/12</f>
        <v>0</v>
      </c>
      <c r="T11" s="26">
        <f>T6*Допущения!$B$17*Допущения!$C$23/12</f>
        <v>0</v>
      </c>
      <c r="U11" s="26">
        <f>U6*Допущения!$B$17*Допущения!$C$23/12</f>
        <v>0</v>
      </c>
      <c r="V11" s="26">
        <f>V6*Допущения!$B$17*Допущения!$C$23/12</f>
        <v>0</v>
      </c>
      <c r="W11" s="26">
        <f>W6*Допущения!$B$17*Допущения!$C$23/12</f>
        <v>0</v>
      </c>
      <c r="X11" s="26">
        <f>X6*Допущения!$B$17*Допущения!$C$23/12</f>
        <v>0</v>
      </c>
      <c r="Y11" s="26">
        <f>Y6*Допущения!$B$17*Допущения!$C$23/12</f>
        <v>0</v>
      </c>
      <c r="Z11" s="26">
        <f>Z6*Допущения!$B$17*Допущения!$C$23/12</f>
        <v>0</v>
      </c>
      <c r="AA11" s="26">
        <f>AA6*Допущения!$B$17*Допущения!$C$23/12</f>
        <v>0</v>
      </c>
      <c r="AB11" s="26">
        <f>AB6*Допущения!$B$17*Допущения!$C$23/12</f>
        <v>0</v>
      </c>
      <c r="AC11" s="26">
        <f>AC6*Допущения!$B$17*Допущения!$C$23/12</f>
        <v>0</v>
      </c>
      <c r="AD11" s="26">
        <f>AD6*Допущения!$B$17*Допущения!$C$23/12</f>
        <v>0</v>
      </c>
      <c r="AE11" s="26">
        <f>AE6*Допущения!$B$17*Допущения!$C$23/12</f>
        <v>0</v>
      </c>
      <c r="AF11" s="26">
        <f>AF6*Допущения!$B$17*Допущения!$C$23/12</f>
        <v>0</v>
      </c>
      <c r="AG11" s="26">
        <f>AG6*Допущения!$B$17*Допущения!$C$23/12</f>
        <v>0</v>
      </c>
      <c r="AH11" s="26">
        <f>AH6*Допущения!$B$17*Допущения!$C$23/12</f>
        <v>0</v>
      </c>
      <c r="AI11" s="26">
        <f>AI6*Допущения!$B$17*Допущения!$C$23/12</f>
        <v>0</v>
      </c>
      <c r="AJ11" s="26">
        <f>AJ6*Допущения!$B$17*Допущения!$C$23/12</f>
        <v>0</v>
      </c>
      <c r="AK11" s="26">
        <f>AK6*Допущения!$B$17*Допущения!$C$23/12</f>
        <v>0</v>
      </c>
      <c r="AL11" s="26">
        <f>AL6*Допущения!$B$17*Допущения!$C$23/12</f>
        <v>0</v>
      </c>
    </row>
    <row r="12" spans="1:38" x14ac:dyDescent="0.3">
      <c r="A12" s="28" t="s">
        <v>106</v>
      </c>
      <c r="B12" s="2"/>
      <c r="C12" s="26">
        <f t="shared" ref="C12:AL12" si="0">SUM(C9:C11)</f>
        <v>0</v>
      </c>
      <c r="D12" s="26">
        <f t="shared" si="0"/>
        <v>0</v>
      </c>
      <c r="E12" s="26">
        <f t="shared" si="0"/>
        <v>0</v>
      </c>
      <c r="F12" s="26">
        <f t="shared" si="0"/>
        <v>3025</v>
      </c>
      <c r="G12" s="26">
        <f t="shared" si="0"/>
        <v>3639.583333333333</v>
      </c>
      <c r="H12" s="26">
        <f t="shared" si="0"/>
        <v>4243.9236111111113</v>
      </c>
      <c r="I12" s="26">
        <f t="shared" si="0"/>
        <v>15831.74485942609</v>
      </c>
      <c r="J12" s="26">
        <f t="shared" si="0"/>
        <v>33097.433621873963</v>
      </c>
      <c r="K12" s="26">
        <f t="shared" si="0"/>
        <v>53690.576142856939</v>
      </c>
      <c r="L12" s="26">
        <f t="shared" si="0"/>
        <v>77662.300347579003</v>
      </c>
      <c r="M12" s="26">
        <f t="shared" si="0"/>
        <v>105065.29823018228</v>
      </c>
      <c r="N12" s="26">
        <f t="shared" si="0"/>
        <v>135953.84878595348</v>
      </c>
      <c r="O12" s="26">
        <f t="shared" si="0"/>
        <v>170383.84149534663</v>
      </c>
      <c r="P12" s="26">
        <f t="shared" si="0"/>
        <v>208412.80036773952</v>
      </c>
      <c r="Q12" s="26">
        <f t="shared" si="0"/>
        <v>250099.90855301381</v>
      </c>
      <c r="R12" s="26">
        <f t="shared" si="0"/>
        <v>295506.03352922527</v>
      </c>
      <c r="S12" s="26">
        <f t="shared" si="0"/>
        <v>344693.75287480681</v>
      </c>
      <c r="T12" s="26">
        <f t="shared" si="0"/>
        <v>397727.38063393137</v>
      </c>
      <c r="U12" s="26">
        <f t="shared" si="0"/>
        <v>437850.73031363834</v>
      </c>
      <c r="V12" s="26">
        <f t="shared" si="0"/>
        <v>478021.10799696809</v>
      </c>
      <c r="W12" s="26">
        <f t="shared" si="0"/>
        <v>518248.68764499866</v>
      </c>
      <c r="X12" s="26">
        <f t="shared" si="0"/>
        <v>558543.64141031133</v>
      </c>
      <c r="Y12" s="26">
        <f t="shared" si="0"/>
        <v>598916.14223541063</v>
      </c>
      <c r="Z12" s="26">
        <f t="shared" si="0"/>
        <v>639376.36644715676</v>
      </c>
      <c r="AA12" s="26">
        <f t="shared" si="0"/>
        <v>679934.49634787906</v>
      </c>
      <c r="AB12" s="26">
        <f t="shared" si="0"/>
        <v>720600.72280383436</v>
      </c>
      <c r="AC12" s="26">
        <f t="shared" si="0"/>
        <v>761385.24783167965</v>
      </c>
      <c r="AD12" s="26">
        <f t="shared" si="0"/>
        <v>802298.28718361771</v>
      </c>
      <c r="AE12" s="26">
        <f t="shared" si="0"/>
        <v>843350.07293187978</v>
      </c>
      <c r="AF12" s="26">
        <f t="shared" si="0"/>
        <v>884550.85605320567</v>
      </c>
      <c r="AG12" s="26">
        <f t="shared" si="0"/>
        <v>925910.90901397937</v>
      </c>
      <c r="AH12" s="26">
        <f t="shared" si="0"/>
        <v>967440.52835668123</v>
      </c>
      <c r="AI12" s="26">
        <f t="shared" si="0"/>
        <v>1009150.0372883126</v>
      </c>
      <c r="AJ12" s="26">
        <f t="shared" si="0"/>
        <v>1051049.7882714493</v>
      </c>
      <c r="AK12" s="26">
        <f t="shared" si="0"/>
        <v>1093150.1656185838</v>
      </c>
      <c r="AL12" s="26">
        <f t="shared" si="0"/>
        <v>1135461.5880904109</v>
      </c>
    </row>
    <row r="13" spans="1:38" x14ac:dyDescent="0.3">
      <c r="A13" s="24" t="s">
        <v>107</v>
      </c>
      <c r="B13" s="2"/>
      <c r="C13" s="26">
        <f>MAX(Допущения!$C$35,ROUNDUP(C6/Допущения!$C$34,0)+1)</f>
        <v>2</v>
      </c>
      <c r="D13" s="26">
        <f>MAX(Допущения!$C$35,ROUNDUP(D6/Допущения!$C$34,0)+1)</f>
        <v>2</v>
      </c>
      <c r="E13" s="26">
        <f>MAX(Допущения!$C$35,ROUNDUP(E6/Допущения!$C$34,0)+1)</f>
        <v>2</v>
      </c>
      <c r="F13" s="26">
        <f>MAX(Допущения!$C$35,ROUNDUP(F6/Допущения!$C$34,0)+1)</f>
        <v>2</v>
      </c>
      <c r="G13" s="26">
        <f>MAX(Допущения!$C$35,ROUNDUP(G6/Допущения!$C$34,0)+1)</f>
        <v>2</v>
      </c>
      <c r="H13" s="26">
        <f>MAX(Допущения!$C$35,ROUNDUP(H6/Допущения!$C$34,0)+1)</f>
        <v>2</v>
      </c>
      <c r="I13" s="26">
        <f>MAX(Допущения!$C$35,ROUNDUP(I6/Допущения!$C$34,0)+1)</f>
        <v>2</v>
      </c>
      <c r="J13" s="26">
        <f>MAX(Допущения!$C$35,ROUNDUP(J6/Допущения!$C$34,0)+1)</f>
        <v>2</v>
      </c>
      <c r="K13" s="26">
        <f>MAX(Допущения!$C$35,ROUNDUP(K6/Допущения!$C$34,0)+1)</f>
        <v>2</v>
      </c>
      <c r="L13" s="26">
        <f>MAX(Допущения!$C$35,ROUNDUP(L6/Допущения!$C$34,0)+1)</f>
        <v>2</v>
      </c>
      <c r="M13" s="26">
        <f>MAX(Допущения!$C$35,ROUNDUP(M6/Допущения!$C$34,0)+1)</f>
        <v>2</v>
      </c>
      <c r="N13" s="26">
        <f>MAX(Допущения!$C$35,ROUNDUP(N6/Допущения!$C$34,0)+1)</f>
        <v>2</v>
      </c>
      <c r="O13" s="26">
        <f>MAX(Допущения!$C$35,ROUNDUP(O6/Допущения!$C$34,0)+1)</f>
        <v>2</v>
      </c>
      <c r="P13" s="26">
        <f>MAX(Допущения!$C$35,ROUNDUP(P6/Допущения!$C$34,0)+1)</f>
        <v>2</v>
      </c>
      <c r="Q13" s="26">
        <f>MAX(Допущения!$C$35,ROUNDUP(Q6/Допущения!$C$34,0)+1)</f>
        <v>2</v>
      </c>
      <c r="R13" s="26">
        <f>MAX(Допущения!$C$35,ROUNDUP(R6/Допущения!$C$34,0)+1)</f>
        <v>2</v>
      </c>
      <c r="S13" s="26">
        <f>MAX(Допущения!$C$35,ROUNDUP(S6/Допущения!$C$34,0)+1)</f>
        <v>2</v>
      </c>
      <c r="T13" s="26">
        <f>MAX(Допущения!$C$35,ROUNDUP(T6/Допущения!$C$34,0)+1)</f>
        <v>2</v>
      </c>
      <c r="U13" s="26">
        <f>MAX(Допущения!$C$35,ROUNDUP(U6/Допущения!$C$34,0)+1)</f>
        <v>2</v>
      </c>
      <c r="V13" s="26">
        <f>MAX(Допущения!$C$35,ROUNDUP(V6/Допущения!$C$34,0)+1)</f>
        <v>2</v>
      </c>
      <c r="W13" s="26">
        <f>MAX(Допущения!$C$35,ROUNDUP(W6/Допущения!$C$34,0)+1)</f>
        <v>2</v>
      </c>
      <c r="X13" s="26">
        <f>MAX(Допущения!$C$35,ROUNDUP(X6/Допущения!$C$34,0)+1)</f>
        <v>2</v>
      </c>
      <c r="Y13" s="26">
        <f>MAX(Допущения!$C$35,ROUNDUP(Y6/Допущения!$C$34,0)+1)</f>
        <v>2</v>
      </c>
      <c r="Z13" s="26">
        <f>MAX(Допущения!$C$35,ROUNDUP(Z6/Допущения!$C$34,0)+1)</f>
        <v>2</v>
      </c>
      <c r="AA13" s="26">
        <f>MAX(Допущения!$C$35,ROUNDUP(AA6/Допущения!$C$34,0)+1)</f>
        <v>2</v>
      </c>
      <c r="AB13" s="26">
        <f>MAX(Допущения!$C$35,ROUNDUP(AB6/Допущения!$C$34,0)+1)</f>
        <v>2</v>
      </c>
      <c r="AC13" s="26">
        <f>MAX(Допущения!$C$35,ROUNDUP(AC6/Допущения!$C$34,0)+1)</f>
        <v>3</v>
      </c>
      <c r="AD13" s="26">
        <f>MAX(Допущения!$C$35,ROUNDUP(AD6/Допущения!$C$34,0)+1)</f>
        <v>3</v>
      </c>
      <c r="AE13" s="26">
        <f>MAX(Допущения!$C$35,ROUNDUP(AE6/Допущения!$C$34,0)+1)</f>
        <v>3</v>
      </c>
      <c r="AF13" s="26">
        <f>MAX(Допущения!$C$35,ROUNDUP(AF6/Допущения!$C$34,0)+1)</f>
        <v>3</v>
      </c>
      <c r="AG13" s="26">
        <f>MAX(Допущения!$C$35,ROUNDUP(AG6/Допущения!$C$34,0)+1)</f>
        <v>3</v>
      </c>
      <c r="AH13" s="26">
        <f>MAX(Допущения!$C$35,ROUNDUP(AH6/Допущения!$C$34,0)+1)</f>
        <v>3</v>
      </c>
      <c r="AI13" s="26">
        <f>MAX(Допущения!$C$35,ROUNDUP(AI6/Допущения!$C$34,0)+1)</f>
        <v>3</v>
      </c>
      <c r="AJ13" s="26">
        <f>MAX(Допущения!$C$35,ROUNDUP(AJ6/Допущения!$C$34,0)+1)</f>
        <v>3</v>
      </c>
      <c r="AK13" s="26">
        <f>MAX(Допущения!$C$35,ROUNDUP(AK6/Допущения!$C$34,0)+1)</f>
        <v>3</v>
      </c>
      <c r="AL13" s="26">
        <f>MAX(Допущения!$C$35,ROUNDUP(AL6/Допущения!$C$34,0)+1)</f>
        <v>3</v>
      </c>
    </row>
    <row r="14" spans="1:38" x14ac:dyDescent="0.3">
      <c r="A14" s="24" t="s">
        <v>108</v>
      </c>
      <c r="B14" s="2"/>
      <c r="C14" s="26">
        <f>(C13-0)*Допущения!$C$32</f>
        <v>8000000</v>
      </c>
      <c r="D14" s="26">
        <f>(D13-C13)*Допущения!$C$32</f>
        <v>0</v>
      </c>
      <c r="E14" s="26">
        <f>(E13-D13)*Допущения!$C$32</f>
        <v>0</v>
      </c>
      <c r="F14" s="26">
        <f>(F13-E13)*Допущения!$C$32</f>
        <v>0</v>
      </c>
      <c r="G14" s="26">
        <f>(G13-F13)*Допущения!$C$32</f>
        <v>0</v>
      </c>
      <c r="H14" s="26">
        <f>(H13-G13)*Допущения!$C$32</f>
        <v>0</v>
      </c>
      <c r="I14" s="26">
        <f>(I13-H13)*Допущения!$C$32</f>
        <v>0</v>
      </c>
      <c r="J14" s="26">
        <f>(J13-I13)*Допущения!$C$32</f>
        <v>0</v>
      </c>
      <c r="K14" s="26">
        <f>(K13-J13)*Допущения!$C$32</f>
        <v>0</v>
      </c>
      <c r="L14" s="26">
        <f>(L13-K13)*Допущения!$C$32</f>
        <v>0</v>
      </c>
      <c r="M14" s="26">
        <f>(M13-L13)*Допущения!$C$32</f>
        <v>0</v>
      </c>
      <c r="N14" s="26">
        <f>(N13-M13)*Допущения!$C$32</f>
        <v>0</v>
      </c>
      <c r="O14" s="26">
        <f>(O13-N13)*Допущения!$C$32</f>
        <v>0</v>
      </c>
      <c r="P14" s="26">
        <f>(P13-O13)*Допущения!$C$32</f>
        <v>0</v>
      </c>
      <c r="Q14" s="26">
        <f>(Q13-P13)*Допущения!$C$32</f>
        <v>0</v>
      </c>
      <c r="R14" s="26">
        <f>(R13-Q13)*Допущения!$C$32</f>
        <v>0</v>
      </c>
      <c r="S14" s="26">
        <f>(S13-R13)*Допущения!$C$32</f>
        <v>0</v>
      </c>
      <c r="T14" s="26">
        <f>(T13-S13)*Допущения!$C$32</f>
        <v>0</v>
      </c>
      <c r="U14" s="26">
        <f>(U13-T13)*Допущения!$C$32</f>
        <v>0</v>
      </c>
      <c r="V14" s="26">
        <f>(V13-U13)*Допущения!$C$32</f>
        <v>0</v>
      </c>
      <c r="W14" s="26">
        <f>(W13-V13)*Допущения!$C$32</f>
        <v>0</v>
      </c>
      <c r="X14" s="26">
        <f>(X13-W13)*Допущения!$C$32</f>
        <v>0</v>
      </c>
      <c r="Y14" s="26">
        <f>(Y13-X13)*Допущения!$C$32</f>
        <v>0</v>
      </c>
      <c r="Z14" s="26">
        <f>(Z13-Y13)*Допущения!$C$32</f>
        <v>0</v>
      </c>
      <c r="AA14" s="26">
        <f>(AA13-Z13)*Допущения!$C$32</f>
        <v>0</v>
      </c>
      <c r="AB14" s="26">
        <f>(AB13-AA13)*Допущения!$C$32</f>
        <v>0</v>
      </c>
      <c r="AC14" s="26">
        <f>(AC13-AB13)*Допущения!$C$32</f>
        <v>4000000</v>
      </c>
      <c r="AD14" s="26">
        <f>(AD13-AC13)*Допущения!$C$32</f>
        <v>0</v>
      </c>
      <c r="AE14" s="26">
        <f>(AE13-AD13)*Допущения!$C$32</f>
        <v>0</v>
      </c>
      <c r="AF14" s="26">
        <f>(AF13-AE13)*Допущения!$C$32</f>
        <v>0</v>
      </c>
      <c r="AG14" s="26">
        <f>(AG13-AF13)*Допущения!$C$32</f>
        <v>0</v>
      </c>
      <c r="AH14" s="26">
        <f>(AH13-AG13)*Допущения!$C$32</f>
        <v>0</v>
      </c>
      <c r="AI14" s="26">
        <f>(AI13-AH13)*Допущения!$C$32</f>
        <v>0</v>
      </c>
      <c r="AJ14" s="26">
        <f>(AJ13-AI13)*Допущения!$C$32</f>
        <v>0</v>
      </c>
      <c r="AK14" s="26">
        <f>(AK13-AJ13)*Допущения!$C$32</f>
        <v>0</v>
      </c>
      <c r="AL14" s="26">
        <f>(AL13-AK13)*Допущения!$C$32</f>
        <v>0</v>
      </c>
    </row>
    <row r="15" spans="1:38" x14ac:dyDescent="0.3">
      <c r="A15" s="24" t="s">
        <v>109</v>
      </c>
      <c r="B15" s="2"/>
      <c r="C15" s="26">
        <f>IF(C$4&lt;Допущения!$C$10,Допущения!$C$26,Допущения!$C$27)*Допущения!$C$25</f>
        <v>2400000</v>
      </c>
      <c r="D15" s="26">
        <f>IF(D$4&lt;Допущения!$C$10,Допущения!$C$26,Допущения!$C$27)*Допущения!$C$25</f>
        <v>2400000</v>
      </c>
      <c r="E15" s="26">
        <f>IF(E$4&lt;Допущения!$C$10,Допущения!$C$26,Допущения!$C$27)*Допущения!$C$25</f>
        <v>2400000</v>
      </c>
      <c r="F15" s="26">
        <f>IF(F$4&lt;Допущения!$C$10,Допущения!$C$26,Допущения!$C$27)*Допущения!$C$25</f>
        <v>2400000</v>
      </c>
      <c r="G15" s="26">
        <f>IF(G$4&lt;Допущения!$C$10,Допущения!$C$26,Допущения!$C$27)*Допущения!$C$25</f>
        <v>2400000</v>
      </c>
      <c r="H15" s="26">
        <f>IF(H$4&lt;Допущения!$C$10,Допущения!$C$26,Допущения!$C$27)*Допущения!$C$25</f>
        <v>2400000</v>
      </c>
      <c r="I15" s="26">
        <f>IF(I$4&lt;Допущения!$C$10,Допущения!$C$26,Допущения!$C$27)*Допущения!$C$25</f>
        <v>1200000</v>
      </c>
      <c r="J15" s="26">
        <f>IF(J$4&lt;Допущения!$C$10,Допущения!$C$26,Допущения!$C$27)*Допущения!$C$25</f>
        <v>1200000</v>
      </c>
      <c r="K15" s="26">
        <f>IF(K$4&lt;Допущения!$C$10,Допущения!$C$26,Допущения!$C$27)*Допущения!$C$25</f>
        <v>1200000</v>
      </c>
      <c r="L15" s="26">
        <f>IF(L$4&lt;Допущения!$C$10,Допущения!$C$26,Допущения!$C$27)*Допущения!$C$25</f>
        <v>1200000</v>
      </c>
      <c r="M15" s="26">
        <f>IF(M$4&lt;Допущения!$C$10,Допущения!$C$26,Допущения!$C$27)*Допущения!$C$25</f>
        <v>1200000</v>
      </c>
      <c r="N15" s="26">
        <f>IF(N$4&lt;Допущения!$C$10,Допущения!$C$26,Допущения!$C$27)*Допущения!$C$25</f>
        <v>1200000</v>
      </c>
      <c r="O15" s="26">
        <f>IF(O$4&lt;Допущения!$C$10,Допущения!$C$26,Допущения!$C$27)*Допущения!$C$25</f>
        <v>1200000</v>
      </c>
      <c r="P15" s="26">
        <f>IF(P$4&lt;Допущения!$C$10,Допущения!$C$26,Допущения!$C$27)*Допущения!$C$25</f>
        <v>1200000</v>
      </c>
      <c r="Q15" s="26">
        <f>IF(Q$4&lt;Допущения!$C$10,Допущения!$C$26,Допущения!$C$27)*Допущения!$C$25</f>
        <v>1200000</v>
      </c>
      <c r="R15" s="26">
        <f>IF(R$4&lt;Допущения!$C$10,Допущения!$C$26,Допущения!$C$27)*Допущения!$C$25</f>
        <v>1200000</v>
      </c>
      <c r="S15" s="26">
        <f>IF(S$4&lt;Допущения!$C$10,Допущения!$C$26,Допущения!$C$27)*Допущения!$C$25</f>
        <v>1200000</v>
      </c>
      <c r="T15" s="26">
        <f>IF(T$4&lt;Допущения!$C$10,Допущения!$C$26,Допущения!$C$27)*Допущения!$C$25</f>
        <v>1200000</v>
      </c>
      <c r="U15" s="26">
        <f>IF(U$4&lt;Допущения!$C$10,Допущения!$C$26,Допущения!$C$27)*Допущения!$C$25</f>
        <v>1200000</v>
      </c>
      <c r="V15" s="26">
        <f>IF(V$4&lt;Допущения!$C$10,Допущения!$C$26,Допущения!$C$27)*Допущения!$C$25</f>
        <v>1200000</v>
      </c>
      <c r="W15" s="26">
        <f>IF(W$4&lt;Допущения!$C$10,Допущения!$C$26,Допущения!$C$27)*Допущения!$C$25</f>
        <v>1200000</v>
      </c>
      <c r="X15" s="26">
        <f>IF(X$4&lt;Допущения!$C$10,Допущения!$C$26,Допущения!$C$27)*Допущения!$C$25</f>
        <v>1200000</v>
      </c>
      <c r="Y15" s="26">
        <f>IF(Y$4&lt;Допущения!$C$10,Допущения!$C$26,Допущения!$C$27)*Допущения!$C$25</f>
        <v>1200000</v>
      </c>
      <c r="Z15" s="26">
        <f>IF(Z$4&lt;Допущения!$C$10,Допущения!$C$26,Допущения!$C$27)*Допущения!$C$25</f>
        <v>1200000</v>
      </c>
      <c r="AA15" s="26">
        <f>IF(AA$4&lt;Допущения!$C$10,Допущения!$C$26,Допущения!$C$27)*Допущения!$C$25</f>
        <v>1200000</v>
      </c>
      <c r="AB15" s="26">
        <f>IF(AB$4&lt;Допущения!$C$10,Допущения!$C$26,Допущения!$C$27)*Допущения!$C$25</f>
        <v>1200000</v>
      </c>
      <c r="AC15" s="26">
        <f>IF(AC$4&lt;Допущения!$C$10,Допущения!$C$26,Допущения!$C$27)*Допущения!$C$25</f>
        <v>1200000</v>
      </c>
      <c r="AD15" s="26">
        <f>IF(AD$4&lt;Допущения!$C$10,Допущения!$C$26,Допущения!$C$27)*Допущения!$C$25</f>
        <v>1200000</v>
      </c>
      <c r="AE15" s="26">
        <f>IF(AE$4&lt;Допущения!$C$10,Допущения!$C$26,Допущения!$C$27)*Допущения!$C$25</f>
        <v>1200000</v>
      </c>
      <c r="AF15" s="26">
        <f>IF(AF$4&lt;Допущения!$C$10,Допущения!$C$26,Допущения!$C$27)*Допущения!$C$25</f>
        <v>1200000</v>
      </c>
      <c r="AG15" s="26">
        <f>IF(AG$4&lt;Допущения!$C$10,Допущения!$C$26,Допущения!$C$27)*Допущения!$C$25</f>
        <v>1200000</v>
      </c>
      <c r="AH15" s="26">
        <f>IF(AH$4&lt;Допущения!$C$10,Допущения!$C$26,Допущения!$C$27)*Допущения!$C$25</f>
        <v>1200000</v>
      </c>
      <c r="AI15" s="26">
        <f>IF(AI$4&lt;Допущения!$C$10,Допущения!$C$26,Допущения!$C$27)*Допущения!$C$25</f>
        <v>1200000</v>
      </c>
      <c r="AJ15" s="26">
        <f>IF(AJ$4&lt;Допущения!$C$10,Допущения!$C$26,Допущения!$C$27)*Допущения!$C$25</f>
        <v>1200000</v>
      </c>
      <c r="AK15" s="26">
        <f>IF(AK$4&lt;Допущения!$C$10,Допущения!$C$26,Допущения!$C$27)*Допущения!$C$25</f>
        <v>1200000</v>
      </c>
      <c r="AL15" s="26">
        <f>IF(AL$4&lt;Допущения!$C$10,Допущения!$C$26,Допущения!$C$27)*Допущения!$C$25</f>
        <v>1200000</v>
      </c>
    </row>
    <row r="16" spans="1:38" x14ac:dyDescent="0.3">
      <c r="A16" s="24" t="s">
        <v>110</v>
      </c>
      <c r="B16" s="2"/>
      <c r="C16" s="26">
        <f>Допущения!$C$28*Допущения!$C$29</f>
        <v>150000</v>
      </c>
      <c r="D16" s="26">
        <f>Допущения!$C$28*Допущения!$C$29</f>
        <v>150000</v>
      </c>
      <c r="E16" s="26">
        <f>Допущения!$C$28*Допущения!$C$29</f>
        <v>150000</v>
      </c>
      <c r="F16" s="26">
        <f>Допущения!$C$28*Допущения!$C$29</f>
        <v>150000</v>
      </c>
      <c r="G16" s="26">
        <f>Допущения!$C$28*Допущения!$C$29</f>
        <v>150000</v>
      </c>
      <c r="H16" s="26">
        <f>Допущения!$C$28*Допущения!$C$29</f>
        <v>150000</v>
      </c>
      <c r="I16" s="26">
        <f>Допущения!$C$28*Допущения!$C$29</f>
        <v>150000</v>
      </c>
      <c r="J16" s="26">
        <f>Допущения!$C$28*Допущения!$C$29</f>
        <v>150000</v>
      </c>
      <c r="K16" s="26">
        <f>Допущения!$C$28*Допущения!$C$29</f>
        <v>150000</v>
      </c>
      <c r="L16" s="26">
        <f>Допущения!$C$28*Допущения!$C$29</f>
        <v>150000</v>
      </c>
      <c r="M16" s="26">
        <f>Допущения!$C$28*Допущения!$C$29</f>
        <v>150000</v>
      </c>
      <c r="N16" s="26">
        <f>Допущения!$C$28*Допущения!$C$29</f>
        <v>150000</v>
      </c>
      <c r="O16" s="26">
        <f>Допущения!$C$28*Допущения!$C$29</f>
        <v>150000</v>
      </c>
      <c r="P16" s="26">
        <f>Допущения!$C$28*Допущения!$C$29</f>
        <v>150000</v>
      </c>
      <c r="Q16" s="26">
        <f>Допущения!$C$28*Допущения!$C$29</f>
        <v>150000</v>
      </c>
      <c r="R16" s="26">
        <f>Допущения!$C$28*Допущения!$C$29</f>
        <v>150000</v>
      </c>
      <c r="S16" s="26">
        <f>Допущения!$C$28*Допущения!$C$29</f>
        <v>150000</v>
      </c>
      <c r="T16" s="26">
        <f>Допущения!$C$28*Допущения!$C$29</f>
        <v>150000</v>
      </c>
      <c r="U16" s="26">
        <f>Допущения!$C$28*Допущения!$C$29</f>
        <v>150000</v>
      </c>
      <c r="V16" s="26">
        <f>Допущения!$C$28*Допущения!$C$29</f>
        <v>150000</v>
      </c>
      <c r="W16" s="26">
        <f>Допущения!$C$28*Допущения!$C$29</f>
        <v>150000</v>
      </c>
      <c r="X16" s="26">
        <f>Допущения!$C$28*Допущения!$C$29</f>
        <v>150000</v>
      </c>
      <c r="Y16" s="26">
        <f>Допущения!$C$28*Допущения!$C$29</f>
        <v>150000</v>
      </c>
      <c r="Z16" s="26">
        <f>Допущения!$C$28*Допущения!$C$29</f>
        <v>150000</v>
      </c>
      <c r="AA16" s="26">
        <f>Допущения!$C$28*Допущения!$C$29</f>
        <v>150000</v>
      </c>
      <c r="AB16" s="26">
        <f>Допущения!$C$28*Допущения!$C$29</f>
        <v>150000</v>
      </c>
      <c r="AC16" s="26">
        <f>Допущения!$C$28*Допущения!$C$29</f>
        <v>150000</v>
      </c>
      <c r="AD16" s="26">
        <f>Допущения!$C$28*Допущения!$C$29</f>
        <v>150000</v>
      </c>
      <c r="AE16" s="26">
        <f>Допущения!$C$28*Допущения!$C$29</f>
        <v>150000</v>
      </c>
      <c r="AF16" s="26">
        <f>Допущения!$C$28*Допущения!$C$29</f>
        <v>150000</v>
      </c>
      <c r="AG16" s="26">
        <f>Допущения!$C$28*Допущения!$C$29</f>
        <v>150000</v>
      </c>
      <c r="AH16" s="26">
        <f>Допущения!$C$28*Допущения!$C$29</f>
        <v>150000</v>
      </c>
      <c r="AI16" s="26">
        <f>Допущения!$C$28*Допущения!$C$29</f>
        <v>150000</v>
      </c>
      <c r="AJ16" s="26">
        <f>Допущения!$C$28*Допущения!$C$29</f>
        <v>150000</v>
      </c>
      <c r="AK16" s="26">
        <f>Допущения!$C$28*Допущения!$C$29</f>
        <v>150000</v>
      </c>
      <c r="AL16" s="26">
        <f>Допущения!$C$28*Допущения!$C$29</f>
        <v>150000</v>
      </c>
    </row>
    <row r="17" spans="1:38" x14ac:dyDescent="0.3">
      <c r="A17" s="24" t="s">
        <v>111</v>
      </c>
      <c r="B17" s="2"/>
      <c r="C17" s="26">
        <f>Допущения!$C$30/12</f>
        <v>125000</v>
      </c>
      <c r="D17" s="26">
        <f>Допущения!$C$30/12</f>
        <v>125000</v>
      </c>
      <c r="E17" s="26">
        <f>Допущения!$C$30/12</f>
        <v>125000</v>
      </c>
      <c r="F17" s="26">
        <f>Допущения!$C$30/12</f>
        <v>125000</v>
      </c>
      <c r="G17" s="26">
        <f>Допущения!$C$30/12</f>
        <v>125000</v>
      </c>
      <c r="H17" s="26">
        <f>Допущения!$C$30/12</f>
        <v>125000</v>
      </c>
      <c r="I17" s="26">
        <f>Допущения!$C$30/12</f>
        <v>125000</v>
      </c>
      <c r="J17" s="26">
        <f>Допущения!$C$30/12</f>
        <v>125000</v>
      </c>
      <c r="K17" s="26">
        <f>Допущения!$C$30/12</f>
        <v>125000</v>
      </c>
      <c r="L17" s="26">
        <f>Допущения!$C$30/12</f>
        <v>125000</v>
      </c>
      <c r="M17" s="26">
        <f>Допущения!$C$30/12</f>
        <v>125000</v>
      </c>
      <c r="N17" s="26">
        <f>Допущения!$C$30/12</f>
        <v>125000</v>
      </c>
      <c r="O17" s="26">
        <f>Допущения!$C$30/12</f>
        <v>125000</v>
      </c>
      <c r="P17" s="26">
        <f>Допущения!$C$30/12</f>
        <v>125000</v>
      </c>
      <c r="Q17" s="26">
        <f>Допущения!$C$30/12</f>
        <v>125000</v>
      </c>
      <c r="R17" s="26">
        <f>Допущения!$C$30/12</f>
        <v>125000</v>
      </c>
      <c r="S17" s="26">
        <f>Допущения!$C$30/12</f>
        <v>125000</v>
      </c>
      <c r="T17" s="26">
        <f>Допущения!$C$30/12</f>
        <v>125000</v>
      </c>
      <c r="U17" s="26">
        <f>Допущения!$C$30/12</f>
        <v>125000</v>
      </c>
      <c r="V17" s="26">
        <f>Допущения!$C$30/12</f>
        <v>125000</v>
      </c>
      <c r="W17" s="26">
        <f>Допущения!$C$30/12</f>
        <v>125000</v>
      </c>
      <c r="X17" s="26">
        <f>Допущения!$C$30/12</f>
        <v>125000</v>
      </c>
      <c r="Y17" s="26">
        <f>Допущения!$C$30/12</f>
        <v>125000</v>
      </c>
      <c r="Z17" s="26">
        <f>Допущения!$C$30/12</f>
        <v>125000</v>
      </c>
      <c r="AA17" s="26">
        <f>Допущения!$C$30/12</f>
        <v>125000</v>
      </c>
      <c r="AB17" s="26">
        <f>Допущения!$C$30/12</f>
        <v>125000</v>
      </c>
      <c r="AC17" s="26">
        <f>Допущения!$C$30/12</f>
        <v>125000</v>
      </c>
      <c r="AD17" s="26">
        <f>Допущения!$C$30/12</f>
        <v>125000</v>
      </c>
      <c r="AE17" s="26">
        <f>Допущения!$C$30/12</f>
        <v>125000</v>
      </c>
      <c r="AF17" s="26">
        <f>Допущения!$C$30/12</f>
        <v>125000</v>
      </c>
      <c r="AG17" s="26">
        <f>Допущения!$C$30/12</f>
        <v>125000</v>
      </c>
      <c r="AH17" s="26">
        <f>Допущения!$C$30/12</f>
        <v>125000</v>
      </c>
      <c r="AI17" s="26">
        <f>Допущения!$C$30/12</f>
        <v>125000</v>
      </c>
      <c r="AJ17" s="26">
        <f>Допущения!$C$30/12</f>
        <v>125000</v>
      </c>
      <c r="AK17" s="26">
        <f>Допущения!$C$30/12</f>
        <v>125000</v>
      </c>
      <c r="AL17" s="26">
        <f>Допущения!$C$30/12</f>
        <v>125000</v>
      </c>
    </row>
    <row r="18" spans="1:38" x14ac:dyDescent="0.3">
      <c r="A18" s="24" t="s">
        <v>112</v>
      </c>
      <c r="B18" s="2"/>
      <c r="C18" s="26">
        <f>IF(C$4&gt;=Допущения!$C$10,Допущения!$C$31/12,0)</f>
        <v>0</v>
      </c>
      <c r="D18" s="26">
        <f>IF(D$4&gt;=Допущения!$C$10,Допущения!$C$31/12,0)</f>
        <v>0</v>
      </c>
      <c r="E18" s="26">
        <f>IF(E$4&gt;=Допущения!$C$10,Допущения!$C$31/12,0)</f>
        <v>0</v>
      </c>
      <c r="F18" s="26">
        <f>IF(F$4&gt;=Допущения!$C$10,Допущения!$C$31/12,0)</f>
        <v>0</v>
      </c>
      <c r="G18" s="26">
        <f>IF(G$4&gt;=Допущения!$C$10,Допущения!$C$31/12,0)</f>
        <v>0</v>
      </c>
      <c r="H18" s="26">
        <f>IF(H$4&gt;=Допущения!$C$10,Допущения!$C$31/12,0)</f>
        <v>0</v>
      </c>
      <c r="I18" s="26">
        <f>IF(I$4&gt;=Допущения!$C$10,Допущения!$C$31/12,0)</f>
        <v>83333.333333333328</v>
      </c>
      <c r="J18" s="26">
        <f>IF(J$4&gt;=Допущения!$C$10,Допущения!$C$31/12,0)</f>
        <v>83333.333333333328</v>
      </c>
      <c r="K18" s="26">
        <f>IF(K$4&gt;=Допущения!$C$10,Допущения!$C$31/12,0)</f>
        <v>83333.333333333328</v>
      </c>
      <c r="L18" s="26">
        <f>IF(L$4&gt;=Допущения!$C$10,Допущения!$C$31/12,0)</f>
        <v>83333.333333333328</v>
      </c>
      <c r="M18" s="26">
        <f>IF(M$4&gt;=Допущения!$C$10,Допущения!$C$31/12,0)</f>
        <v>83333.333333333328</v>
      </c>
      <c r="N18" s="26">
        <f>IF(N$4&gt;=Допущения!$C$10,Допущения!$C$31/12,0)</f>
        <v>83333.333333333328</v>
      </c>
      <c r="O18" s="26">
        <f>IF(O$4&gt;=Допущения!$C$10,Допущения!$C$31/12,0)</f>
        <v>83333.333333333328</v>
      </c>
      <c r="P18" s="26">
        <f>IF(P$4&gt;=Допущения!$C$10,Допущения!$C$31/12,0)</f>
        <v>83333.333333333328</v>
      </c>
      <c r="Q18" s="26">
        <f>IF(Q$4&gt;=Допущения!$C$10,Допущения!$C$31/12,0)</f>
        <v>83333.333333333328</v>
      </c>
      <c r="R18" s="26">
        <f>IF(R$4&gt;=Допущения!$C$10,Допущения!$C$31/12,0)</f>
        <v>83333.333333333328</v>
      </c>
      <c r="S18" s="26">
        <f>IF(S$4&gt;=Допущения!$C$10,Допущения!$C$31/12,0)</f>
        <v>83333.333333333328</v>
      </c>
      <c r="T18" s="26">
        <f>IF(T$4&gt;=Допущения!$C$10,Допущения!$C$31/12,0)</f>
        <v>83333.333333333328</v>
      </c>
      <c r="U18" s="26">
        <f>IF(U$4&gt;=Допущения!$C$10,Допущения!$C$31/12,0)</f>
        <v>83333.333333333328</v>
      </c>
      <c r="V18" s="26">
        <f>IF(V$4&gt;=Допущения!$C$10,Допущения!$C$31/12,0)</f>
        <v>83333.333333333328</v>
      </c>
      <c r="W18" s="26">
        <f>IF(W$4&gt;=Допущения!$C$10,Допущения!$C$31/12,0)</f>
        <v>83333.333333333328</v>
      </c>
      <c r="X18" s="26">
        <f>IF(X$4&gt;=Допущения!$C$10,Допущения!$C$31/12,0)</f>
        <v>83333.333333333328</v>
      </c>
      <c r="Y18" s="26">
        <f>IF(Y$4&gt;=Допущения!$C$10,Допущения!$C$31/12,0)</f>
        <v>83333.333333333328</v>
      </c>
      <c r="Z18" s="26">
        <f>IF(Z$4&gt;=Допущения!$C$10,Допущения!$C$31/12,0)</f>
        <v>83333.333333333328</v>
      </c>
      <c r="AA18" s="26">
        <f>IF(AA$4&gt;=Допущения!$C$10,Допущения!$C$31/12,0)</f>
        <v>83333.333333333328</v>
      </c>
      <c r="AB18" s="26">
        <f>IF(AB$4&gt;=Допущения!$C$10,Допущения!$C$31/12,0)</f>
        <v>83333.333333333328</v>
      </c>
      <c r="AC18" s="26">
        <f>IF(AC$4&gt;=Допущения!$C$10,Допущения!$C$31/12,0)</f>
        <v>83333.333333333328</v>
      </c>
      <c r="AD18" s="26">
        <f>IF(AD$4&gt;=Допущения!$C$10,Допущения!$C$31/12,0)</f>
        <v>83333.333333333328</v>
      </c>
      <c r="AE18" s="26">
        <f>IF(AE$4&gt;=Допущения!$C$10,Допущения!$C$31/12,0)</f>
        <v>83333.333333333328</v>
      </c>
      <c r="AF18" s="26">
        <f>IF(AF$4&gt;=Допущения!$C$10,Допущения!$C$31/12,0)</f>
        <v>83333.333333333328</v>
      </c>
      <c r="AG18" s="26">
        <f>IF(AG$4&gt;=Допущения!$C$10,Допущения!$C$31/12,0)</f>
        <v>83333.333333333328</v>
      </c>
      <c r="AH18" s="26">
        <f>IF(AH$4&gt;=Допущения!$C$10,Допущения!$C$31/12,0)</f>
        <v>83333.333333333328</v>
      </c>
      <c r="AI18" s="26">
        <f>IF(AI$4&gt;=Допущения!$C$10,Допущения!$C$31/12,0)</f>
        <v>83333.333333333328</v>
      </c>
      <c r="AJ18" s="26">
        <f>IF(AJ$4&gt;=Допущения!$C$10,Допущения!$C$31/12,0)</f>
        <v>83333.333333333328</v>
      </c>
      <c r="AK18" s="26">
        <f>IF(AK$4&gt;=Допущения!$C$10,Допущения!$C$31/12,0)</f>
        <v>83333.333333333328</v>
      </c>
      <c r="AL18" s="26">
        <f>IF(AL$4&gt;=Допущения!$C$10,Допущения!$C$31/12,0)</f>
        <v>83333.333333333328</v>
      </c>
    </row>
    <row r="19" spans="1:38" x14ac:dyDescent="0.3">
      <c r="A19" s="24" t="s">
        <v>113</v>
      </c>
      <c r="B19" s="2"/>
      <c r="C19" s="26">
        <f>C13*Допущения!$C$32*Допущения!$C$33/12</f>
        <v>100000</v>
      </c>
      <c r="D19" s="26">
        <f>D13*Допущения!$C$32*Допущения!$C$33/12</f>
        <v>100000</v>
      </c>
      <c r="E19" s="26">
        <f>E13*Допущения!$C$32*Допущения!$C$33/12</f>
        <v>100000</v>
      </c>
      <c r="F19" s="26">
        <f>F13*Допущения!$C$32*Допущения!$C$33/12</f>
        <v>100000</v>
      </c>
      <c r="G19" s="26">
        <f>G13*Допущения!$C$32*Допущения!$C$33/12</f>
        <v>100000</v>
      </c>
      <c r="H19" s="26">
        <f>H13*Допущения!$C$32*Допущения!$C$33/12</f>
        <v>100000</v>
      </c>
      <c r="I19" s="26">
        <f>I13*Допущения!$C$32*Допущения!$C$33/12</f>
        <v>100000</v>
      </c>
      <c r="J19" s="26">
        <f>J13*Допущения!$C$32*Допущения!$C$33/12</f>
        <v>100000</v>
      </c>
      <c r="K19" s="26">
        <f>K13*Допущения!$C$32*Допущения!$C$33/12</f>
        <v>100000</v>
      </c>
      <c r="L19" s="26">
        <f>L13*Допущения!$C$32*Допущения!$C$33/12</f>
        <v>100000</v>
      </c>
      <c r="M19" s="26">
        <f>M13*Допущения!$C$32*Допущения!$C$33/12</f>
        <v>100000</v>
      </c>
      <c r="N19" s="26">
        <f>N13*Допущения!$C$32*Допущения!$C$33/12</f>
        <v>100000</v>
      </c>
      <c r="O19" s="26">
        <f>O13*Допущения!$C$32*Допущения!$C$33/12</f>
        <v>100000</v>
      </c>
      <c r="P19" s="26">
        <f>P13*Допущения!$C$32*Допущения!$C$33/12</f>
        <v>100000</v>
      </c>
      <c r="Q19" s="26">
        <f>Q13*Допущения!$C$32*Допущения!$C$33/12</f>
        <v>100000</v>
      </c>
      <c r="R19" s="26">
        <f>R13*Допущения!$C$32*Допущения!$C$33/12</f>
        <v>100000</v>
      </c>
      <c r="S19" s="26">
        <f>S13*Допущения!$C$32*Допущения!$C$33/12</f>
        <v>100000</v>
      </c>
      <c r="T19" s="26">
        <f>T13*Допущения!$C$32*Допущения!$C$33/12</f>
        <v>100000</v>
      </c>
      <c r="U19" s="26">
        <f>U13*Допущения!$C$32*Допущения!$C$33/12</f>
        <v>100000</v>
      </c>
      <c r="V19" s="26">
        <f>V13*Допущения!$C$32*Допущения!$C$33/12</f>
        <v>100000</v>
      </c>
      <c r="W19" s="26">
        <f>W13*Допущения!$C$32*Допущения!$C$33/12</f>
        <v>100000</v>
      </c>
      <c r="X19" s="26">
        <f>X13*Допущения!$C$32*Допущения!$C$33/12</f>
        <v>100000</v>
      </c>
      <c r="Y19" s="26">
        <f>Y13*Допущения!$C$32*Допущения!$C$33/12</f>
        <v>100000</v>
      </c>
      <c r="Z19" s="26">
        <f>Z13*Допущения!$C$32*Допущения!$C$33/12</f>
        <v>100000</v>
      </c>
      <c r="AA19" s="26">
        <f>AA13*Допущения!$C$32*Допущения!$C$33/12</f>
        <v>100000</v>
      </c>
      <c r="AB19" s="26">
        <f>AB13*Допущения!$C$32*Допущения!$C$33/12</f>
        <v>100000</v>
      </c>
      <c r="AC19" s="26">
        <f>AC13*Допущения!$C$32*Допущения!$C$33/12</f>
        <v>150000</v>
      </c>
      <c r="AD19" s="26">
        <f>AD13*Допущения!$C$32*Допущения!$C$33/12</f>
        <v>150000</v>
      </c>
      <c r="AE19" s="26">
        <f>AE13*Допущения!$C$32*Допущения!$C$33/12</f>
        <v>150000</v>
      </c>
      <c r="AF19" s="26">
        <f>AF13*Допущения!$C$32*Допущения!$C$33/12</f>
        <v>150000</v>
      </c>
      <c r="AG19" s="26">
        <f>AG13*Допущения!$C$32*Допущения!$C$33/12</f>
        <v>150000</v>
      </c>
      <c r="AH19" s="26">
        <f>AH13*Допущения!$C$32*Допущения!$C$33/12</f>
        <v>150000</v>
      </c>
      <c r="AI19" s="26">
        <f>AI13*Допущения!$C$32*Допущения!$C$33/12</f>
        <v>150000</v>
      </c>
      <c r="AJ19" s="26">
        <f>AJ13*Допущения!$C$32*Допущения!$C$33/12</f>
        <v>150000</v>
      </c>
      <c r="AK19" s="26">
        <f>AK13*Допущения!$C$32*Допущения!$C$33/12</f>
        <v>150000</v>
      </c>
      <c r="AL19" s="26">
        <f>AL13*Допущения!$C$32*Допущения!$C$33/12</f>
        <v>150000</v>
      </c>
    </row>
    <row r="20" spans="1:38" x14ac:dyDescent="0.3">
      <c r="A20" s="28" t="s">
        <v>114</v>
      </c>
      <c r="B20" s="2"/>
      <c r="C20" s="26">
        <f t="shared" ref="C20:AL20" si="1">SUM(C14:C19)</f>
        <v>10775000</v>
      </c>
      <c r="D20" s="26">
        <f t="shared" si="1"/>
        <v>2775000</v>
      </c>
      <c r="E20" s="26">
        <f t="shared" si="1"/>
        <v>2775000</v>
      </c>
      <c r="F20" s="26">
        <f t="shared" si="1"/>
        <v>2775000</v>
      </c>
      <c r="G20" s="26">
        <f t="shared" si="1"/>
        <v>2775000</v>
      </c>
      <c r="H20" s="26">
        <f t="shared" si="1"/>
        <v>2775000</v>
      </c>
      <c r="I20" s="26">
        <f t="shared" si="1"/>
        <v>1658333.3333333333</v>
      </c>
      <c r="J20" s="26">
        <f t="shared" si="1"/>
        <v>1658333.3333333333</v>
      </c>
      <c r="K20" s="26">
        <f t="shared" si="1"/>
        <v>1658333.3333333333</v>
      </c>
      <c r="L20" s="26">
        <f t="shared" si="1"/>
        <v>1658333.3333333333</v>
      </c>
      <c r="M20" s="26">
        <f t="shared" si="1"/>
        <v>1658333.3333333333</v>
      </c>
      <c r="N20" s="26">
        <f t="shared" si="1"/>
        <v>1658333.3333333333</v>
      </c>
      <c r="O20" s="26">
        <f t="shared" si="1"/>
        <v>1658333.3333333333</v>
      </c>
      <c r="P20" s="26">
        <f t="shared" si="1"/>
        <v>1658333.3333333333</v>
      </c>
      <c r="Q20" s="26">
        <f t="shared" si="1"/>
        <v>1658333.3333333333</v>
      </c>
      <c r="R20" s="26">
        <f t="shared" si="1"/>
        <v>1658333.3333333333</v>
      </c>
      <c r="S20" s="26">
        <f t="shared" si="1"/>
        <v>1658333.3333333333</v>
      </c>
      <c r="T20" s="26">
        <f t="shared" si="1"/>
        <v>1658333.3333333333</v>
      </c>
      <c r="U20" s="26">
        <f t="shared" si="1"/>
        <v>1658333.3333333333</v>
      </c>
      <c r="V20" s="26">
        <f t="shared" si="1"/>
        <v>1658333.3333333333</v>
      </c>
      <c r="W20" s="26">
        <f t="shared" si="1"/>
        <v>1658333.3333333333</v>
      </c>
      <c r="X20" s="26">
        <f t="shared" si="1"/>
        <v>1658333.3333333333</v>
      </c>
      <c r="Y20" s="26">
        <f t="shared" si="1"/>
        <v>1658333.3333333333</v>
      </c>
      <c r="Z20" s="26">
        <f t="shared" si="1"/>
        <v>1658333.3333333333</v>
      </c>
      <c r="AA20" s="26">
        <f t="shared" si="1"/>
        <v>1658333.3333333333</v>
      </c>
      <c r="AB20" s="26">
        <f t="shared" si="1"/>
        <v>1658333.3333333333</v>
      </c>
      <c r="AC20" s="26">
        <f t="shared" si="1"/>
        <v>5708333.333333333</v>
      </c>
      <c r="AD20" s="26">
        <f t="shared" si="1"/>
        <v>1708333.3333333333</v>
      </c>
      <c r="AE20" s="26">
        <f t="shared" si="1"/>
        <v>1708333.3333333333</v>
      </c>
      <c r="AF20" s="26">
        <f t="shared" si="1"/>
        <v>1708333.3333333333</v>
      </c>
      <c r="AG20" s="26">
        <f t="shared" si="1"/>
        <v>1708333.3333333333</v>
      </c>
      <c r="AH20" s="26">
        <f t="shared" si="1"/>
        <v>1708333.3333333333</v>
      </c>
      <c r="AI20" s="26">
        <f t="shared" si="1"/>
        <v>1708333.3333333333</v>
      </c>
      <c r="AJ20" s="26">
        <f t="shared" si="1"/>
        <v>1708333.3333333333</v>
      </c>
      <c r="AK20" s="26">
        <f t="shared" si="1"/>
        <v>1708333.3333333333</v>
      </c>
      <c r="AL20" s="26">
        <f t="shared" si="1"/>
        <v>1708333.3333333333</v>
      </c>
    </row>
    <row r="21" spans="1:38" x14ac:dyDescent="0.3">
      <c r="A21" s="28" t="s">
        <v>115</v>
      </c>
      <c r="B21" s="2"/>
      <c r="C21" s="26">
        <f t="shared" ref="C21:AL21" si="2">C12-C20</f>
        <v>-10775000</v>
      </c>
      <c r="D21" s="26">
        <f t="shared" si="2"/>
        <v>-2775000</v>
      </c>
      <c r="E21" s="26">
        <f t="shared" si="2"/>
        <v>-2775000</v>
      </c>
      <c r="F21" s="26">
        <f t="shared" si="2"/>
        <v>-2771975</v>
      </c>
      <c r="G21" s="26">
        <f t="shared" si="2"/>
        <v>-2771360.4166666665</v>
      </c>
      <c r="H21" s="26">
        <f t="shared" si="2"/>
        <v>-2770756.076388889</v>
      </c>
      <c r="I21" s="26">
        <f t="shared" si="2"/>
        <v>-1642501.5884739072</v>
      </c>
      <c r="J21" s="26">
        <f t="shared" si="2"/>
        <v>-1625235.8997114594</v>
      </c>
      <c r="K21" s="26">
        <f t="shared" si="2"/>
        <v>-1604642.7571904764</v>
      </c>
      <c r="L21" s="26">
        <f t="shared" si="2"/>
        <v>-1580671.0329857543</v>
      </c>
      <c r="M21" s="26">
        <f t="shared" si="2"/>
        <v>-1553268.0351031509</v>
      </c>
      <c r="N21" s="26">
        <f t="shared" si="2"/>
        <v>-1522379.4845473799</v>
      </c>
      <c r="O21" s="26">
        <f t="shared" si="2"/>
        <v>-1487949.4918379867</v>
      </c>
      <c r="P21" s="26">
        <f t="shared" si="2"/>
        <v>-1449920.5329655937</v>
      </c>
      <c r="Q21" s="26">
        <f t="shared" si="2"/>
        <v>-1408233.4247803194</v>
      </c>
      <c r="R21" s="26">
        <f t="shared" si="2"/>
        <v>-1362827.299804108</v>
      </c>
      <c r="S21" s="26">
        <f t="shared" si="2"/>
        <v>-1313639.5804585265</v>
      </c>
      <c r="T21" s="26">
        <f t="shared" si="2"/>
        <v>-1260605.9526994019</v>
      </c>
      <c r="U21" s="26">
        <f t="shared" si="2"/>
        <v>-1220482.6030196948</v>
      </c>
      <c r="V21" s="26">
        <f t="shared" si="2"/>
        <v>-1180312.2253363652</v>
      </c>
      <c r="W21" s="26">
        <f t="shared" si="2"/>
        <v>-1140084.6456883345</v>
      </c>
      <c r="X21" s="26">
        <f t="shared" si="2"/>
        <v>-1099789.6919230218</v>
      </c>
      <c r="Y21" s="26">
        <f t="shared" si="2"/>
        <v>-1059417.1910979226</v>
      </c>
      <c r="Z21" s="26">
        <f t="shared" si="2"/>
        <v>-1018956.9668861765</v>
      </c>
      <c r="AA21" s="26">
        <f t="shared" si="2"/>
        <v>-978398.8369854542</v>
      </c>
      <c r="AB21" s="26">
        <f t="shared" si="2"/>
        <v>-937732.6105294989</v>
      </c>
      <c r="AC21" s="26">
        <f t="shared" si="2"/>
        <v>-4946948.0855016531</v>
      </c>
      <c r="AD21" s="26">
        <f t="shared" si="2"/>
        <v>-906035.04614971555</v>
      </c>
      <c r="AE21" s="26">
        <f t="shared" si="2"/>
        <v>-864983.26040145347</v>
      </c>
      <c r="AF21" s="26">
        <f t="shared" si="2"/>
        <v>-823782.47728012758</v>
      </c>
      <c r="AG21" s="26">
        <f t="shared" si="2"/>
        <v>-782422.42431935389</v>
      </c>
      <c r="AH21" s="26">
        <f t="shared" si="2"/>
        <v>-740892.80497665203</v>
      </c>
      <c r="AI21" s="26">
        <f t="shared" si="2"/>
        <v>-699183.29604502069</v>
      </c>
      <c r="AJ21" s="26">
        <f t="shared" si="2"/>
        <v>-657283.54506188398</v>
      </c>
      <c r="AK21" s="26">
        <f t="shared" si="2"/>
        <v>-615183.16771474946</v>
      </c>
      <c r="AL21" s="26">
        <f t="shared" si="2"/>
        <v>-572871.74524292233</v>
      </c>
    </row>
    <row r="22" spans="1:38" x14ac:dyDescent="0.3">
      <c r="A22" s="28" t="s">
        <v>116</v>
      </c>
      <c r="B22" s="2"/>
      <c r="C22" s="26">
        <f>0+C21</f>
        <v>-10775000</v>
      </c>
      <c r="D22" s="26">
        <f t="shared" ref="D22:AL22" si="3">C22+D21</f>
        <v>-13550000</v>
      </c>
      <c r="E22" s="26">
        <f t="shared" si="3"/>
        <v>-16325000</v>
      </c>
      <c r="F22" s="26">
        <f t="shared" si="3"/>
        <v>-19096975</v>
      </c>
      <c r="G22" s="26">
        <f t="shared" si="3"/>
        <v>-21868335.416666668</v>
      </c>
      <c r="H22" s="26">
        <f t="shared" si="3"/>
        <v>-24639091.493055556</v>
      </c>
      <c r="I22" s="26">
        <f t="shared" si="3"/>
        <v>-26281593.081529465</v>
      </c>
      <c r="J22" s="26">
        <f t="shared" si="3"/>
        <v>-27906828.981240924</v>
      </c>
      <c r="K22" s="26">
        <f t="shared" si="3"/>
        <v>-29511471.738431402</v>
      </c>
      <c r="L22" s="26">
        <f t="shared" si="3"/>
        <v>-31092142.771417156</v>
      </c>
      <c r="M22" s="26">
        <f t="shared" si="3"/>
        <v>-32645410.806520306</v>
      </c>
      <c r="N22" s="26">
        <f t="shared" si="3"/>
        <v>-34167790.291067682</v>
      </c>
      <c r="O22" s="26">
        <f t="shared" si="3"/>
        <v>-35655739.782905668</v>
      </c>
      <c r="P22" s="26">
        <f t="shared" si="3"/>
        <v>-37105660.315871261</v>
      </c>
      <c r="Q22" s="26">
        <f t="shared" si="3"/>
        <v>-38513893.740651578</v>
      </c>
      <c r="R22" s="26">
        <f t="shared" si="3"/>
        <v>-39876721.040455684</v>
      </c>
      <c r="S22" s="26">
        <f t="shared" si="3"/>
        <v>-41190360.620914213</v>
      </c>
      <c r="T22" s="26">
        <f t="shared" si="3"/>
        <v>-42450966.573613614</v>
      </c>
      <c r="U22" s="26">
        <f t="shared" si="3"/>
        <v>-43671449.176633306</v>
      </c>
      <c r="V22" s="26">
        <f t="shared" si="3"/>
        <v>-44851761.401969671</v>
      </c>
      <c r="W22" s="26">
        <f t="shared" si="3"/>
        <v>-45991846.047658004</v>
      </c>
      <c r="X22" s="26">
        <f t="shared" si="3"/>
        <v>-47091635.739581026</v>
      </c>
      <c r="Y22" s="26">
        <f t="shared" si="3"/>
        <v>-48151052.930678949</v>
      </c>
      <c r="Z22" s="26">
        <f t="shared" si="3"/>
        <v>-49170009.897565126</v>
      </c>
      <c r="AA22" s="26">
        <f t="shared" si="3"/>
        <v>-50148408.73455058</v>
      </c>
      <c r="AB22" s="26">
        <f t="shared" si="3"/>
        <v>-51086141.345080078</v>
      </c>
      <c r="AC22" s="26">
        <f t="shared" si="3"/>
        <v>-56033089.430581734</v>
      </c>
      <c r="AD22" s="26">
        <f t="shared" si="3"/>
        <v>-56939124.476731449</v>
      </c>
      <c r="AE22" s="26">
        <f t="shared" si="3"/>
        <v>-57804107.737132899</v>
      </c>
      <c r="AF22" s="26">
        <f t="shared" si="3"/>
        <v>-58627890.214413024</v>
      </c>
      <c r="AG22" s="26">
        <f t="shared" si="3"/>
        <v>-59410312.638732381</v>
      </c>
      <c r="AH22" s="26">
        <f t="shared" si="3"/>
        <v>-60151205.443709031</v>
      </c>
      <c r="AI22" s="26">
        <f t="shared" si="3"/>
        <v>-60850388.739754051</v>
      </c>
      <c r="AJ22" s="26">
        <f t="shared" si="3"/>
        <v>-61507672.284815937</v>
      </c>
      <c r="AK22" s="26">
        <f t="shared" si="3"/>
        <v>-62122855.45253069</v>
      </c>
      <c r="AL22" s="26">
        <f t="shared" si="3"/>
        <v>-62695727.197773613</v>
      </c>
    </row>
    <row r="23" spans="1:38" x14ac:dyDescent="0.3">
      <c r="A23" s="24" t="s">
        <v>117</v>
      </c>
      <c r="B23" s="2"/>
      <c r="C23" s="29" t="str">
        <f>IF(C22&gt;=0,C$4,"")</f>
        <v/>
      </c>
      <c r="D23" s="29" t="str">
        <f t="shared" ref="D23:AL23" si="4">IF(AND(D22&gt;=0,C22&lt;0),D$4,"")</f>
        <v/>
      </c>
      <c r="E23" s="29" t="str">
        <f t="shared" si="4"/>
        <v/>
      </c>
      <c r="F23" s="29" t="str">
        <f t="shared" si="4"/>
        <v/>
      </c>
      <c r="G23" s="29" t="str">
        <f t="shared" si="4"/>
        <v/>
      </c>
      <c r="H23" s="29" t="str">
        <f t="shared" si="4"/>
        <v/>
      </c>
      <c r="I23" s="29" t="str">
        <f t="shared" si="4"/>
        <v/>
      </c>
      <c r="J23" s="29" t="str">
        <f t="shared" si="4"/>
        <v/>
      </c>
      <c r="K23" s="29" t="str">
        <f t="shared" si="4"/>
        <v/>
      </c>
      <c r="L23" s="29" t="str">
        <f t="shared" si="4"/>
        <v/>
      </c>
      <c r="M23" s="29" t="str">
        <f t="shared" si="4"/>
        <v/>
      </c>
      <c r="N23" s="29" t="str">
        <f t="shared" si="4"/>
        <v/>
      </c>
      <c r="O23" s="29" t="str">
        <f t="shared" si="4"/>
        <v/>
      </c>
      <c r="P23" s="29" t="str">
        <f t="shared" si="4"/>
        <v/>
      </c>
      <c r="Q23" s="29" t="str">
        <f t="shared" si="4"/>
        <v/>
      </c>
      <c r="R23" s="29" t="str">
        <f t="shared" si="4"/>
        <v/>
      </c>
      <c r="S23" s="29" t="str">
        <f t="shared" si="4"/>
        <v/>
      </c>
      <c r="T23" s="29" t="str">
        <f t="shared" si="4"/>
        <v/>
      </c>
      <c r="U23" s="29" t="str">
        <f t="shared" si="4"/>
        <v/>
      </c>
      <c r="V23" s="29" t="str">
        <f t="shared" si="4"/>
        <v/>
      </c>
      <c r="W23" s="29" t="str">
        <f t="shared" si="4"/>
        <v/>
      </c>
      <c r="X23" s="29" t="str">
        <f t="shared" si="4"/>
        <v/>
      </c>
      <c r="Y23" s="29" t="str">
        <f t="shared" si="4"/>
        <v/>
      </c>
      <c r="Z23" s="29" t="str">
        <f t="shared" si="4"/>
        <v/>
      </c>
      <c r="AA23" s="29" t="str">
        <f t="shared" si="4"/>
        <v/>
      </c>
      <c r="AB23" s="29" t="str">
        <f t="shared" si="4"/>
        <v/>
      </c>
      <c r="AC23" s="29" t="str">
        <f t="shared" si="4"/>
        <v/>
      </c>
      <c r="AD23" s="29" t="str">
        <f t="shared" si="4"/>
        <v/>
      </c>
      <c r="AE23" s="29" t="str">
        <f t="shared" si="4"/>
        <v/>
      </c>
      <c r="AF23" s="29" t="str">
        <f t="shared" si="4"/>
        <v/>
      </c>
      <c r="AG23" s="29" t="str">
        <f t="shared" si="4"/>
        <v/>
      </c>
      <c r="AH23" s="29" t="str">
        <f t="shared" si="4"/>
        <v/>
      </c>
      <c r="AI23" s="29" t="str">
        <f t="shared" si="4"/>
        <v/>
      </c>
      <c r="AJ23" s="29" t="str">
        <f t="shared" si="4"/>
        <v/>
      </c>
      <c r="AK23" s="29" t="str">
        <f t="shared" si="4"/>
        <v/>
      </c>
      <c r="AL23" s="29" t="str">
        <f t="shared" si="4"/>
        <v/>
      </c>
    </row>
    <row r="24" spans="1:38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x14ac:dyDescent="0.3">
      <c r="A26" s="3" t="s">
        <v>118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</row>
    <row r="27" spans="1:38" x14ac:dyDescent="0.3">
      <c r="A27" s="24" t="s">
        <v>98</v>
      </c>
      <c r="B27" s="2"/>
      <c r="C27" s="25">
        <v>1</v>
      </c>
      <c r="D27" s="25">
        <v>2</v>
      </c>
      <c r="E27" s="25">
        <v>3</v>
      </c>
      <c r="F27" s="25">
        <v>4</v>
      </c>
      <c r="G27" s="25">
        <v>5</v>
      </c>
      <c r="H27" s="25">
        <v>6</v>
      </c>
      <c r="I27" s="25">
        <v>7</v>
      </c>
      <c r="J27" s="25">
        <v>8</v>
      </c>
      <c r="K27" s="25">
        <v>9</v>
      </c>
      <c r="L27" s="25">
        <v>10</v>
      </c>
      <c r="M27" s="25">
        <v>11</v>
      </c>
      <c r="N27" s="25">
        <v>12</v>
      </c>
      <c r="O27" s="25">
        <v>13</v>
      </c>
      <c r="P27" s="25">
        <v>14</v>
      </c>
      <c r="Q27" s="25">
        <v>15</v>
      </c>
      <c r="R27" s="25">
        <v>16</v>
      </c>
      <c r="S27" s="25">
        <v>17</v>
      </c>
      <c r="T27" s="25">
        <v>18</v>
      </c>
      <c r="U27" s="25">
        <v>19</v>
      </c>
      <c r="V27" s="25">
        <v>20</v>
      </c>
      <c r="W27" s="25">
        <v>21</v>
      </c>
      <c r="X27" s="25">
        <v>22</v>
      </c>
      <c r="Y27" s="25">
        <v>23</v>
      </c>
      <c r="Z27" s="25">
        <v>24</v>
      </c>
      <c r="AA27" s="25">
        <v>25</v>
      </c>
      <c r="AB27" s="25">
        <v>26</v>
      </c>
      <c r="AC27" s="25">
        <v>27</v>
      </c>
      <c r="AD27" s="25">
        <v>28</v>
      </c>
      <c r="AE27" s="25">
        <v>29</v>
      </c>
      <c r="AF27" s="25">
        <v>30</v>
      </c>
      <c r="AG27" s="25">
        <v>31</v>
      </c>
      <c r="AH27" s="25">
        <v>32</v>
      </c>
      <c r="AI27" s="25">
        <v>33</v>
      </c>
      <c r="AJ27" s="25">
        <v>34</v>
      </c>
      <c r="AK27" s="25">
        <v>35</v>
      </c>
      <c r="AL27" s="25">
        <v>36</v>
      </c>
    </row>
    <row r="28" spans="1:38" x14ac:dyDescent="0.3">
      <c r="A28" s="24" t="s">
        <v>99</v>
      </c>
      <c r="B28" s="2"/>
      <c r="C28" s="26">
        <f>Допущения!$C$6*(1+Допущения!$C$7)^(C$27/12)</f>
        <v>1015309.4704997311</v>
      </c>
      <c r="D28" s="26">
        <f>Допущения!$C$6*(1+Допущения!$C$7)^(D$27/12)</f>
        <v>1030853.3208864445</v>
      </c>
      <c r="E28" s="26">
        <f>Допущения!$C$6*(1+Допущения!$C$7)^(E$27/12)</f>
        <v>1046635.1393921056</v>
      </c>
      <c r="F28" s="26">
        <f>Допущения!$C$6*(1+Допущения!$C$7)^(F$27/12)</f>
        <v>1062658.5691826111</v>
      </c>
      <c r="G28" s="26">
        <f>Допущения!$C$6*(1+Допущения!$C$7)^(G$27/12)</f>
        <v>1078927.3091987988</v>
      </c>
      <c r="H28" s="26">
        <f>Допущения!$C$6*(1+Допущения!$C$7)^(H$27/12)</f>
        <v>1095445.1150103321</v>
      </c>
      <c r="I28" s="26">
        <f>Допущения!$C$6*(1+Допущения!$C$7)^(I$27/12)</f>
        <v>1112215.7996826577</v>
      </c>
      <c r="J28" s="26">
        <f>Допущения!$C$6*(1+Допущения!$C$7)^(J$27/12)</f>
        <v>1129243.234657234</v>
      </c>
      <c r="K28" s="26">
        <f>Допущения!$C$6*(1+Допущения!$C$7)^(K$27/12)</f>
        <v>1146531.3506452402</v>
      </c>
      <c r="L28" s="26">
        <f>Допущения!$C$6*(1+Допущения!$C$7)^(L$27/12)</f>
        <v>1164084.1385349606</v>
      </c>
      <c r="M28" s="26">
        <f>Допущения!$C$6*(1+Допущения!$C$7)^(M$27/12)</f>
        <v>1181905.6503130666</v>
      </c>
      <c r="N28" s="26">
        <f>Допущения!$C$6*(1+Допущения!$C$7)^(N$27/12)</f>
        <v>1200000</v>
      </c>
      <c r="O28" s="26">
        <f>Допущения!$C$6*(1+Допущения!$C$7)^(O$27/12)</f>
        <v>1218371.3645996775</v>
      </c>
      <c r="P28" s="26">
        <f>Допущения!$C$6*(1+Допущения!$C$7)^(P$27/12)</f>
        <v>1237023.9850637335</v>
      </c>
      <c r="Q28" s="26">
        <f>Допущения!$C$6*(1+Допущения!$C$7)^(Q$27/12)</f>
        <v>1255962.1672705265</v>
      </c>
      <c r="R28" s="26">
        <f>Допущения!$C$6*(1+Допущения!$C$7)^(R$27/12)</f>
        <v>1275190.2830191334</v>
      </c>
      <c r="S28" s="26">
        <f>Допущения!$C$6*(1+Допущения!$C$7)^(S$27/12)</f>
        <v>1294712.7710385586</v>
      </c>
      <c r="T28" s="26">
        <f>Допущения!$C$6*(1+Допущения!$C$7)^(T$27/12)</f>
        <v>1314534.1380123987</v>
      </c>
      <c r="U28" s="26">
        <f>Допущения!$C$6*(1+Допущения!$C$7)^(U$27/12)</f>
        <v>1334658.9596191891</v>
      </c>
      <c r="V28" s="26">
        <f>Допущения!$C$6*(1+Допущения!$C$7)^(V$27/12)</f>
        <v>1355091.8815886809</v>
      </c>
      <c r="W28" s="26">
        <f>Допущения!$C$6*(1+Допущения!$C$7)^(W$27/12)</f>
        <v>1375837.6207742882</v>
      </c>
      <c r="X28" s="26">
        <f>Допущения!$C$6*(1+Допущения!$C$7)^(X$27/12)</f>
        <v>1396900.9662419525</v>
      </c>
      <c r="Y28" s="26">
        <f>Допущения!$C$6*(1+Допущения!$C$7)^(Y$27/12)</f>
        <v>1418286.7803756797</v>
      </c>
      <c r="Z28" s="26">
        <f>Допущения!$C$6*(1+Допущения!$C$7)^(Z$27/12)</f>
        <v>1440000</v>
      </c>
      <c r="AA28" s="26">
        <f>Допущения!$C$6*(1+Допущения!$C$7)^(AA$27/12)</f>
        <v>1462045.6375196129</v>
      </c>
      <c r="AB28" s="26">
        <f>Допущения!$C$6*(1+Допущения!$C$7)^(AB$27/12)</f>
        <v>1484428.7820764801</v>
      </c>
      <c r="AC28" s="26">
        <f>Допущения!$C$6*(1+Допущения!$C$7)^(AC$27/12)</f>
        <v>1507154.6007246319</v>
      </c>
      <c r="AD28" s="26">
        <f>Допущения!$C$6*(1+Допущения!$C$7)^(AD$27/12)</f>
        <v>1530228.33962296</v>
      </c>
      <c r="AE28" s="26">
        <f>Допущения!$C$6*(1+Допущения!$C$7)^(AE$27/12)</f>
        <v>1553655.32524627</v>
      </c>
      <c r="AF28" s="26">
        <f>Допущения!$C$6*(1+Допущения!$C$7)^(AF$27/12)</f>
        <v>1577440.9656148783</v>
      </c>
      <c r="AG28" s="26">
        <f>Допущения!$C$6*(1+Допущения!$C$7)^(AG$27/12)</f>
        <v>1601590.7515430269</v>
      </c>
      <c r="AH28" s="26">
        <f>Допущения!$C$6*(1+Допущения!$C$7)^(AH$27/12)</f>
        <v>1626110.2579064171</v>
      </c>
      <c r="AI28" s="26">
        <f>Допущения!$C$6*(1+Допущения!$C$7)^(AI$27/12)</f>
        <v>1651005.1449291457</v>
      </c>
      <c r="AJ28" s="26">
        <f>Допущения!$C$6*(1+Допущения!$C$7)^(AJ$27/12)</f>
        <v>1676281.159490343</v>
      </c>
      <c r="AK28" s="26">
        <f>Допущения!$C$6*(1+Допущения!$C$7)^(AK$27/12)</f>
        <v>1701944.1364508155</v>
      </c>
      <c r="AL28" s="26">
        <f>Допущения!$C$6*(1+Допущения!$C$7)^(AL$27/12)</f>
        <v>1728000</v>
      </c>
    </row>
    <row r="29" spans="1:38" x14ac:dyDescent="0.3">
      <c r="A29" s="24" t="s">
        <v>100</v>
      </c>
      <c r="B29" s="2"/>
      <c r="C29" s="26">
        <f>IF(C$27&lt;Допущения!$C$9,0,IF(C$27&lt;Допущения!$C$10,Допущения!$C$8*Допущения!$C$13,C28*Допущения!$C$13*MIN(1,(C$27-Допущения!$C$10+1)/Допущения!$C$11)))</f>
        <v>0</v>
      </c>
      <c r="D29" s="26">
        <f>IF(D$27&lt;Допущения!$C$9,0,IF(D$27&lt;Допущения!$C$10,Допущения!$C$8*Допущения!$C$13,D28*Допущения!$C$13*MIN(1,(D$27-Допущения!$C$10+1)/Допущения!$C$11)))</f>
        <v>0</v>
      </c>
      <c r="E29" s="26">
        <f>IF(E$27&lt;Допущения!$C$9,0,IF(E$27&lt;Допущения!$C$10,Допущения!$C$8*Допущения!$C$13,E28*Допущения!$C$13*MIN(1,(E$27-Допущения!$C$10+1)/Допущения!$C$11)))</f>
        <v>0</v>
      </c>
      <c r="F29" s="26">
        <f>IF(F$27&lt;Допущения!$C$9,0,IF(F$27&lt;Допущения!$C$10,Допущения!$C$8*Допущения!$C$13,F28*Допущения!$C$13*MIN(1,(F$27-Допущения!$C$10+1)/Допущения!$C$11)))</f>
        <v>4000</v>
      </c>
      <c r="G29" s="26">
        <f>IF(G$27&lt;Допущения!$C$9,0,IF(G$27&lt;Допущения!$C$10,Допущения!$C$8*Допущения!$C$13,G28*Допущения!$C$13*MIN(1,(G$27-Допущения!$C$10+1)/Допущения!$C$11)))</f>
        <v>4000</v>
      </c>
      <c r="H29" s="26">
        <f>IF(H$27&lt;Допущения!$C$9,0,IF(H$27&lt;Допущения!$C$10,Допущения!$C$8*Допущения!$C$13,H28*Допущения!$C$13*MIN(1,(H$27-Допущения!$C$10+1)/Допущения!$C$11)))</f>
        <v>4000</v>
      </c>
      <c r="I29" s="26">
        <f>IF(I$27&lt;Допущения!$C$9,0,IF(I$27&lt;Допущения!$C$10,Допущения!$C$8*Допущения!$C$13,I28*Допущения!$C$13*MIN(1,(I$27-Допущения!$C$10+1)/Допущения!$C$11)))</f>
        <v>18536.929994710961</v>
      </c>
      <c r="J29" s="26">
        <f>IF(J$27&lt;Допущения!$C$9,0,IF(J$27&lt;Допущения!$C$10,Допущения!$C$8*Допущения!$C$13,J28*Допущения!$C$13*MIN(1,(J$27-Допущения!$C$10+1)/Допущения!$C$11)))</f>
        <v>37641.441155241133</v>
      </c>
      <c r="K29" s="26">
        <f>IF(K$27&lt;Допущения!$C$9,0,IF(K$27&lt;Допущения!$C$10,Допущения!$C$8*Допущения!$C$13,K28*Допущения!$C$13*MIN(1,(K$27-Допущения!$C$10+1)/Допущения!$C$11)))</f>
        <v>57326.567532262008</v>
      </c>
      <c r="L29" s="26">
        <f>IF(L$27&lt;Допущения!$C$9,0,IF(L$27&lt;Допущения!$C$10,Допущения!$C$8*Допущения!$C$13,L28*Допущения!$C$13*MIN(1,(L$27-Допущения!$C$10+1)/Допущения!$C$11)))</f>
        <v>77605.609235664044</v>
      </c>
      <c r="M29" s="26">
        <f>IF(M$27&lt;Допущения!$C$9,0,IF(M$27&lt;Допущения!$C$10,Допущения!$C$8*Допущения!$C$13,M28*Допущения!$C$13*MIN(1,(M$27-Допущения!$C$10+1)/Допущения!$C$11)))</f>
        <v>98492.137526088889</v>
      </c>
      <c r="N29" s="26">
        <f>IF(N$27&lt;Допущения!$C$9,0,IF(N$27&lt;Допущения!$C$10,Допущения!$C$8*Допущения!$C$13,N28*Допущения!$C$13*MIN(1,(N$27-Допущения!$C$10+1)/Допущения!$C$11)))</f>
        <v>120000</v>
      </c>
      <c r="O29" s="26">
        <f>IF(O$27&lt;Допущения!$C$9,0,IF(O$27&lt;Допущения!$C$10,Допущения!$C$8*Допущения!$C$13,O28*Допущения!$C$13*MIN(1,(O$27-Допущения!$C$10+1)/Допущения!$C$11)))</f>
        <v>142143.3258699624</v>
      </c>
      <c r="P29" s="26">
        <f>IF(P$27&lt;Допущения!$C$9,0,IF(P$27&lt;Допущения!$C$10,Допущения!$C$8*Допущения!$C$13,P28*Допущения!$C$13*MIN(1,(P$27-Допущения!$C$10+1)/Допущения!$C$11)))</f>
        <v>164936.53134183114</v>
      </c>
      <c r="Q29" s="26">
        <f>IF(Q$27&lt;Допущения!$C$9,0,IF(Q$27&lt;Допущения!$C$10,Допущения!$C$8*Допущения!$C$13,Q28*Допущения!$C$13*MIN(1,(Q$27-Допущения!$C$10+1)/Допущения!$C$11)))</f>
        <v>188394.32509057899</v>
      </c>
      <c r="R29" s="26">
        <f>IF(R$27&lt;Допущения!$C$9,0,IF(R$27&lt;Допущения!$C$10,Допущения!$C$8*Допущения!$C$13,R28*Допущения!$C$13*MIN(1,(R$27-Допущения!$C$10+1)/Допущения!$C$11)))</f>
        <v>212531.71383652225</v>
      </c>
      <c r="S29" s="26">
        <f>IF(S$27&lt;Допущения!$C$9,0,IF(S$27&lt;Допущения!$C$10,Допущения!$C$8*Допущения!$C$13,S28*Допущения!$C$13*MIN(1,(S$27-Допущения!$C$10+1)/Допущения!$C$11)))</f>
        <v>237364.00802373572</v>
      </c>
      <c r="T29" s="26">
        <f>IF(T$27&lt;Допущения!$C$9,0,IF(T$27&lt;Допущения!$C$10,Допущения!$C$8*Допущения!$C$13,T28*Допущения!$C$13*MIN(1,(T$27-Допущения!$C$10+1)/Допущения!$C$11)))</f>
        <v>262906.82760247978</v>
      </c>
      <c r="U29" s="26">
        <f>IF(U$27&lt;Допущения!$C$9,0,IF(U$27&lt;Допущения!$C$10,Допущения!$C$8*Допущения!$C$13,U28*Допущения!$C$13*MIN(1,(U$27-Допущения!$C$10+1)/Допущения!$C$11)))</f>
        <v>266931.79192383785</v>
      </c>
      <c r="V29" s="26">
        <f>IF(V$27&lt;Допущения!$C$9,0,IF(V$27&lt;Допущения!$C$10,Допущения!$C$8*Допущения!$C$13,V28*Допущения!$C$13*MIN(1,(V$27-Допущения!$C$10+1)/Допущения!$C$11)))</f>
        <v>271018.37631773617</v>
      </c>
      <c r="W29" s="26">
        <f>IF(W$27&lt;Допущения!$C$9,0,IF(W$27&lt;Допущения!$C$10,Допущения!$C$8*Допущения!$C$13,W28*Допущения!$C$13*MIN(1,(W$27-Допущения!$C$10+1)/Допущения!$C$11)))</f>
        <v>275167.52415485767</v>
      </c>
      <c r="X29" s="26">
        <f>IF(X$27&lt;Допущения!$C$9,0,IF(X$27&lt;Допущения!$C$10,Допущения!$C$8*Допущения!$C$13,X28*Допущения!$C$13*MIN(1,(X$27-Допущения!$C$10+1)/Допущения!$C$11)))</f>
        <v>279380.19324839051</v>
      </c>
      <c r="Y29" s="26">
        <f>IF(Y$27&lt;Допущения!$C$9,0,IF(Y$27&lt;Допущения!$C$10,Допущения!$C$8*Допущения!$C$13,Y28*Допущения!$C$13*MIN(1,(Y$27-Допущения!$C$10+1)/Допущения!$C$11)))</f>
        <v>283657.35607513593</v>
      </c>
      <c r="Z29" s="26">
        <f>IF(Z$27&lt;Допущения!$C$9,0,IF(Z$27&lt;Допущения!$C$10,Допущения!$C$8*Допущения!$C$13,Z28*Допущения!$C$13*MIN(1,(Z$27-Допущения!$C$10+1)/Допущения!$C$11)))</f>
        <v>288000</v>
      </c>
      <c r="AA29" s="26">
        <f>IF(AA$27&lt;Допущения!$C$9,0,IF(AA$27&lt;Допущения!$C$10,Допущения!$C$8*Допущения!$C$13,AA28*Допущения!$C$13*MIN(1,(AA$27-Допущения!$C$10+1)/Допущения!$C$11)))</f>
        <v>292409.12750392262</v>
      </c>
      <c r="AB29" s="26">
        <f>IF(AB$27&lt;Допущения!$C$9,0,IF(AB$27&lt;Допущения!$C$10,Допущения!$C$8*Допущения!$C$13,AB28*Допущения!$C$13*MIN(1,(AB$27-Допущения!$C$10+1)/Допущения!$C$11)))</f>
        <v>296885.75641529605</v>
      </c>
      <c r="AC29" s="26">
        <f>IF(AC$27&lt;Допущения!$C$9,0,IF(AC$27&lt;Допущения!$C$10,Допущения!$C$8*Допущения!$C$13,AC28*Допущения!$C$13*MIN(1,(AC$27-Допущения!$C$10+1)/Допущения!$C$11)))</f>
        <v>301430.92014492641</v>
      </c>
      <c r="AD29" s="26">
        <f>IF(AD$27&lt;Допущения!$C$9,0,IF(AD$27&lt;Допущения!$C$10,Допущения!$C$8*Допущения!$C$13,AD28*Допущения!$C$13*MIN(1,(AD$27-Допущения!$C$10+1)/Допущения!$C$11)))</f>
        <v>306045.66792459198</v>
      </c>
      <c r="AE29" s="26">
        <f>IF(AE$27&lt;Допущения!$C$9,0,IF(AE$27&lt;Допущения!$C$10,Допущения!$C$8*Допущения!$C$13,AE28*Допущения!$C$13*MIN(1,(AE$27-Допущения!$C$10+1)/Допущения!$C$11)))</f>
        <v>310731.06504925404</v>
      </c>
      <c r="AF29" s="26">
        <f>IF(AF$27&lt;Допущения!$C$9,0,IF(AF$27&lt;Допущения!$C$10,Допущения!$C$8*Допущения!$C$13,AF28*Допущения!$C$13*MIN(1,(AF$27-Допущения!$C$10+1)/Допущения!$C$11)))</f>
        <v>315488.1931229757</v>
      </c>
      <c r="AG29" s="26">
        <f>IF(AG$27&lt;Допущения!$C$9,0,IF(AG$27&lt;Допущения!$C$10,Допущения!$C$8*Допущения!$C$13,AG28*Допущения!$C$13*MIN(1,(AG$27-Допущения!$C$10+1)/Допущения!$C$11)))</f>
        <v>320318.1503086054</v>
      </c>
      <c r="AH29" s="26">
        <f>IF(AH$27&lt;Допущения!$C$9,0,IF(AH$27&lt;Допущения!$C$10,Допущения!$C$8*Допущения!$C$13,AH28*Допущения!$C$13*MIN(1,(AH$27-Допущения!$C$10+1)/Допущения!$C$11)))</f>
        <v>325222.05158128345</v>
      </c>
      <c r="AI29" s="26">
        <f>IF(AI$27&lt;Допущения!$C$9,0,IF(AI$27&lt;Допущения!$C$10,Допущения!$C$8*Допущения!$C$13,AI28*Допущения!$C$13*MIN(1,(AI$27-Допущения!$C$10+1)/Допущения!$C$11)))</f>
        <v>330201.02898582915</v>
      </c>
      <c r="AJ29" s="26">
        <f>IF(AJ$27&lt;Допущения!$C$9,0,IF(AJ$27&lt;Допущения!$C$10,Допущения!$C$8*Допущения!$C$13,AJ28*Допущения!$C$13*MIN(1,(AJ$27-Допущения!$C$10+1)/Допущения!$C$11)))</f>
        <v>335256.23189806863</v>
      </c>
      <c r="AK29" s="26">
        <f>IF(AK$27&lt;Допущения!$C$9,0,IF(AK$27&lt;Допущения!$C$10,Допущения!$C$8*Допущения!$C$13,AK28*Допущения!$C$13*MIN(1,(AK$27-Допущения!$C$10+1)/Допущения!$C$11)))</f>
        <v>340388.82729016314</v>
      </c>
      <c r="AL29" s="26">
        <f>IF(AL$27&lt;Допущения!$C$9,0,IF(AL$27&lt;Допущения!$C$10,Допущения!$C$8*Допущения!$C$13,AL28*Допущения!$C$13*MIN(1,(AL$27-Допущения!$C$10+1)/Допущения!$C$11)))</f>
        <v>345600</v>
      </c>
    </row>
    <row r="30" spans="1:38" x14ac:dyDescent="0.3">
      <c r="A30" s="24" t="s">
        <v>101</v>
      </c>
      <c r="B30" s="2"/>
      <c r="C30" s="27">
        <f>C29*Допущения!$C$14/12*Допущения!$C$15</f>
        <v>0</v>
      </c>
      <c r="D30" s="27">
        <f>D29*Допущения!$C$14/12*Допущения!$C$15</f>
        <v>0</v>
      </c>
      <c r="E30" s="27">
        <f>E29*Допущения!$C$14/12*Допущения!$C$15</f>
        <v>0</v>
      </c>
      <c r="F30" s="27">
        <f>F29*Допущения!$C$14/12*Допущения!$C$15</f>
        <v>3.3333333333333335</v>
      </c>
      <c r="G30" s="27">
        <f>G29*Допущения!$C$14/12*Допущения!$C$15</f>
        <v>3.3333333333333335</v>
      </c>
      <c r="H30" s="27">
        <f>H29*Допущения!$C$14/12*Допущения!$C$15</f>
        <v>3.3333333333333335</v>
      </c>
      <c r="I30" s="27">
        <f>I29*Допущения!$C$14/12*Допущения!$C$15</f>
        <v>15.447441662259136</v>
      </c>
      <c r="J30" s="27">
        <f>J29*Допущения!$C$14/12*Допущения!$C$15</f>
        <v>31.367867629367609</v>
      </c>
      <c r="K30" s="27">
        <f>K29*Допущения!$C$14/12*Допущения!$C$15</f>
        <v>47.772139610218339</v>
      </c>
      <c r="L30" s="27">
        <f>L29*Допущения!$C$14/12*Допущения!$C$15</f>
        <v>64.67134102972004</v>
      </c>
      <c r="M30" s="27">
        <f>M29*Допущения!$C$14/12*Допущения!$C$15</f>
        <v>82.076781271740742</v>
      </c>
      <c r="N30" s="27">
        <f>N29*Допущения!$C$14/12*Допущения!$C$15</f>
        <v>100</v>
      </c>
      <c r="O30" s="27">
        <f>O29*Допущения!$C$14/12*Допущения!$C$15</f>
        <v>118.452771558302</v>
      </c>
      <c r="P30" s="27">
        <f>P29*Допущения!$C$14/12*Допущения!$C$15</f>
        <v>137.44710945152596</v>
      </c>
      <c r="Q30" s="27">
        <f>Q29*Допущения!$C$14/12*Допущения!$C$15</f>
        <v>156.99527090881583</v>
      </c>
      <c r="R30" s="27">
        <f>R29*Допущения!$C$14/12*Допущения!$C$15</f>
        <v>177.10976153043521</v>
      </c>
      <c r="S30" s="27">
        <f>S29*Допущения!$C$14/12*Допущения!$C$15</f>
        <v>197.80334001977977</v>
      </c>
      <c r="T30" s="27">
        <f>T29*Допущения!$C$14/12*Допущения!$C$15</f>
        <v>219.08902300206648</v>
      </c>
      <c r="U30" s="27">
        <f>U29*Допущения!$C$14/12*Допущения!$C$15</f>
        <v>222.44315993653154</v>
      </c>
      <c r="V30" s="27">
        <f>V29*Допущения!$C$14/12*Допущения!$C$15</f>
        <v>225.84864693144684</v>
      </c>
      <c r="W30" s="27">
        <f>W29*Допущения!$C$14/12*Допущения!$C$15</f>
        <v>229.30627012904804</v>
      </c>
      <c r="X30" s="27">
        <f>X29*Допущения!$C$14/12*Допущения!$C$15</f>
        <v>232.81682770699209</v>
      </c>
      <c r="Y30" s="27">
        <f>Y29*Допущения!$C$14/12*Допущения!$C$15</f>
        <v>236.38113006261327</v>
      </c>
      <c r="Z30" s="27">
        <f>Z29*Допущения!$C$14/12*Допущения!$C$15</f>
        <v>240</v>
      </c>
      <c r="AA30" s="27">
        <f>AA29*Допущения!$C$14/12*Допущения!$C$15</f>
        <v>243.67427291993553</v>
      </c>
      <c r="AB30" s="27">
        <f>AB29*Допущения!$C$14/12*Допущения!$C$15</f>
        <v>247.40479701274671</v>
      </c>
      <c r="AC30" s="27">
        <f>AC29*Допущения!$C$14/12*Допущения!$C$15</f>
        <v>251.19243345410533</v>
      </c>
      <c r="AD30" s="27">
        <f>AD29*Допущения!$C$14/12*Допущения!$C$15</f>
        <v>255.03805660382667</v>
      </c>
      <c r="AE30" s="27">
        <f>AE29*Допущения!$C$14/12*Допущения!$C$15</f>
        <v>258.94255420771168</v>
      </c>
      <c r="AF30" s="27">
        <f>AF29*Допущения!$C$14/12*Допущения!$C$15</f>
        <v>262.90682760247972</v>
      </c>
      <c r="AG30" s="27">
        <f>AG29*Допущения!$C$14/12*Допущения!$C$15</f>
        <v>266.93179192383781</v>
      </c>
      <c r="AH30" s="27">
        <f>AH29*Допущения!$C$14/12*Допущения!$C$15</f>
        <v>271.01837631773623</v>
      </c>
      <c r="AI30" s="27">
        <f>AI29*Допущения!$C$14/12*Допущения!$C$15</f>
        <v>275.16752415485763</v>
      </c>
      <c r="AJ30" s="27">
        <f>AJ29*Допущения!$C$14/12*Допущения!$C$15</f>
        <v>279.38019324839053</v>
      </c>
      <c r="AK30" s="27">
        <f>AK29*Допущения!$C$14/12*Допущения!$C$15</f>
        <v>283.65735607513597</v>
      </c>
      <c r="AL30" s="27">
        <f>AL29*Допущения!$C$14/12*Допущения!$C$15</f>
        <v>288</v>
      </c>
    </row>
    <row r="31" spans="1:38" x14ac:dyDescent="0.3">
      <c r="A31" s="24" t="s">
        <v>102</v>
      </c>
      <c r="B31" s="2"/>
      <c r="C31" s="27">
        <f>0*(1-Допущения!$C$19/12)+C30</f>
        <v>0</v>
      </c>
      <c r="D31" s="27">
        <f>C31*(1-Допущения!$C$19/12)+D30</f>
        <v>0</v>
      </c>
      <c r="E31" s="27">
        <f>D31*(1-Допущения!$C$19/12)+E30</f>
        <v>0</v>
      </c>
      <c r="F31" s="27">
        <f>E31*(1-Допущения!$C$19/12)+F30</f>
        <v>3.3333333333333335</v>
      </c>
      <c r="G31" s="27">
        <f>F31*(1-Допущения!$C$19/12)+G30</f>
        <v>6.6111111111111107</v>
      </c>
      <c r="H31" s="27">
        <f>G31*(1-Допущения!$C$19/12)+H30</f>
        <v>9.8342592592592588</v>
      </c>
      <c r="I31" s="27">
        <f>H31*(1-Допущения!$C$19/12)+I30</f>
        <v>25.117796600530738</v>
      </c>
      <c r="J31" s="27">
        <f>I31*(1-Допущения!$C$19/12)+J30</f>
        <v>56.067034286556165</v>
      </c>
      <c r="K31" s="27">
        <f>J31*(1-Допущения!$C$19/12)+K30</f>
        <v>102.9047233253319</v>
      </c>
      <c r="L31" s="27">
        <f>K31*(1-Допущения!$C$19/12)+L30</f>
        <v>165.86098563296306</v>
      </c>
      <c r="M31" s="27">
        <f>L31*(1-Допущения!$C$19/12)+M30</f>
        <v>245.17341714415443</v>
      </c>
      <c r="N31" s="27">
        <f>M31*(1-Допущения!$C$19/12)+N30</f>
        <v>341.08719352508518</v>
      </c>
      <c r="O31" s="27">
        <f>N31*(1-Допущения!$C$19/12)+O30</f>
        <v>453.85517852463573</v>
      </c>
      <c r="P31" s="27">
        <f>O31*(1-Допущения!$C$19/12)+P30</f>
        <v>583.7380350007511</v>
      </c>
      <c r="Q31" s="27">
        <f>P31*(1-Допущения!$C$19/12)+Q30</f>
        <v>731.00433865955438</v>
      </c>
      <c r="R31" s="27">
        <f>Q31*(1-Допущения!$C$19/12)+R30</f>
        <v>895.93069454566364</v>
      </c>
      <c r="S31" s="27">
        <f>R31*(1-Допущения!$C$19/12)+S30</f>
        <v>1078.8018563230157</v>
      </c>
      <c r="T31" s="27">
        <f>S31*(1-Допущения!$C$19/12)+T30</f>
        <v>1279.9108483863652</v>
      </c>
      <c r="U31" s="27">
        <f>T31*(1-Допущения!$C$19/12)+U30</f>
        <v>1481.0221608497907</v>
      </c>
      <c r="V31" s="27">
        <f>U31*(1-Допущения!$C$19/12)+V30</f>
        <v>1682.1871051004077</v>
      </c>
      <c r="W31" s="27">
        <f>V31*(1-Допущения!$C$19/12)+W30</f>
        <v>1883.4569234777823</v>
      </c>
      <c r="X31" s="27">
        <f>W31*(1-Допущения!$C$19/12)+X30</f>
        <v>2084.8828024601444</v>
      </c>
      <c r="Y31" s="27">
        <f>X31*(1-Допущения!$C$19/12)+Y30</f>
        <v>2286.5158858150885</v>
      </c>
      <c r="Z31" s="27">
        <f>Y31*(1-Допущения!$C$19/12)+Z30</f>
        <v>2488.4072877181702</v>
      </c>
      <c r="AA31" s="27">
        <f>Z31*(1-Допущения!$C$19/12)+AA30</f>
        <v>2690.6081058428026</v>
      </c>
      <c r="AB31" s="27">
        <f>AA31*(1-Допущения!$C$19/12)+AB30</f>
        <v>2893.1694344248358</v>
      </c>
      <c r="AC31" s="27">
        <f>AB31*(1-Допущения!$C$19/12)+AC30</f>
        <v>3096.1423773051938</v>
      </c>
      <c r="AD31" s="27">
        <f>AC31*(1-Допущения!$C$19/12)+AD30</f>
        <v>3299.5780609539338</v>
      </c>
      <c r="AE31" s="27">
        <f>AD31*(1-Допущения!$C$19/12)+AE30</f>
        <v>3503.5276474790794</v>
      </c>
      <c r="AF31" s="27">
        <f>AE31*(1-Допущения!$C$19/12)+AF30</f>
        <v>3708.0423476235742</v>
      </c>
      <c r="AG31" s="27">
        <f>AF31*(1-Допущения!$C$19/12)+AG30</f>
        <v>3913.1734337536855</v>
      </c>
      <c r="AH31" s="27">
        <f>AG31*(1-Допущения!$C$19/12)+AH30</f>
        <v>4118.9722528421935</v>
      </c>
      <c r="AI31" s="27">
        <f>AH31*(1-Допущения!$C$19/12)+AI30</f>
        <v>4325.4902394496812</v>
      </c>
      <c r="AJ31" s="27">
        <f>AI31*(1-Допущения!$C$19/12)+AJ30</f>
        <v>4532.7789287072428</v>
      </c>
      <c r="AK31" s="27">
        <f>AJ31*(1-Допущения!$C$19/12)+AK30</f>
        <v>4740.8899693039248</v>
      </c>
      <c r="AL31" s="27">
        <f>AK31*(1-Допущения!$C$19/12)+AL30</f>
        <v>4949.8751364821928</v>
      </c>
    </row>
    <row r="32" spans="1:38" x14ac:dyDescent="0.3">
      <c r="A32" s="24" t="s">
        <v>103</v>
      </c>
      <c r="B32" s="2"/>
      <c r="C32" s="26">
        <f>C31*Допущения!$C$16/12</f>
        <v>0</v>
      </c>
      <c r="D32" s="26">
        <f>D31*Допущения!$C$16/12</f>
        <v>0</v>
      </c>
      <c r="E32" s="26">
        <f>E31*Допущения!$C$16/12</f>
        <v>0</v>
      </c>
      <c r="F32" s="26">
        <f>F31*Допущения!$C$16/12</f>
        <v>6944.4444444444453</v>
      </c>
      <c r="G32" s="26">
        <f>G31*Допущения!$C$16/12</f>
        <v>13773.148148148148</v>
      </c>
      <c r="H32" s="26">
        <f>H31*Допущения!$C$16/12</f>
        <v>20488.040123456787</v>
      </c>
      <c r="I32" s="26">
        <f>I31*Допущения!$C$16/12</f>
        <v>52328.742917772375</v>
      </c>
      <c r="J32" s="26">
        <f>J31*Допущения!$C$16/12</f>
        <v>116806.32143032535</v>
      </c>
      <c r="K32" s="26">
        <f>K31*Допущения!$C$16/12</f>
        <v>214384.84026110813</v>
      </c>
      <c r="L32" s="26">
        <f>L31*Допущения!$C$16/12</f>
        <v>345543.72006867308</v>
      </c>
      <c r="M32" s="26">
        <f>M31*Допущения!$C$16/12</f>
        <v>510777.95238365507</v>
      </c>
      <c r="N32" s="26">
        <f>N31*Допущения!$C$16/12</f>
        <v>710598.3198439274</v>
      </c>
      <c r="O32" s="26">
        <f>O31*Допущения!$C$16/12</f>
        <v>945531.62192632444</v>
      </c>
      <c r="P32" s="26">
        <f>P31*Допущения!$C$16/12</f>
        <v>1216120.9062515649</v>
      </c>
      <c r="Q32" s="26">
        <f>Q31*Допущения!$C$16/12</f>
        <v>1522925.7055407383</v>
      </c>
      <c r="R32" s="26">
        <f>R31*Допущения!$C$16/12</f>
        <v>1866522.2803034659</v>
      </c>
      <c r="S32" s="26">
        <f>S31*Допущения!$C$16/12</f>
        <v>2247503.8673396162</v>
      </c>
      <c r="T32" s="26">
        <f>T31*Допущения!$C$16/12</f>
        <v>2666480.9341382608</v>
      </c>
      <c r="U32" s="26">
        <f>U31*Допущения!$C$16/12</f>
        <v>3085462.8351037302</v>
      </c>
      <c r="V32" s="26">
        <f>V31*Допущения!$C$16/12</f>
        <v>3504556.4689591825</v>
      </c>
      <c r="W32" s="26">
        <f>W31*Допущения!$C$16/12</f>
        <v>3923868.590578713</v>
      </c>
      <c r="X32" s="26">
        <f>X31*Допущения!$C$16/12</f>
        <v>4343505.838458634</v>
      </c>
      <c r="Y32" s="26">
        <f>Y31*Допущения!$C$16/12</f>
        <v>4763574.7621147679</v>
      </c>
      <c r="Z32" s="26">
        <f>Z31*Допущения!$C$16/12</f>
        <v>5184181.8494128548</v>
      </c>
      <c r="AA32" s="26">
        <f>AA31*Допущения!$C$16/12</f>
        <v>5605433.5538391722</v>
      </c>
      <c r="AB32" s="26">
        <f>AB31*Допущения!$C$16/12</f>
        <v>6027436.3217184087</v>
      </c>
      <c r="AC32" s="26">
        <f>AC31*Допущения!$C$16/12</f>
        <v>6450296.6193858199</v>
      </c>
      <c r="AD32" s="26">
        <f>AD31*Допущения!$C$16/12</f>
        <v>6874120.9603206953</v>
      </c>
      <c r="AE32" s="26">
        <f>AE31*Допущения!$C$16/12</f>
        <v>7299015.932248082</v>
      </c>
      <c r="AF32" s="26">
        <f>AF31*Допущения!$C$16/12</f>
        <v>7725088.2242157795</v>
      </c>
      <c r="AG32" s="26">
        <f>AG31*Допущения!$C$16/12</f>
        <v>8152444.6536535108</v>
      </c>
      <c r="AH32" s="26">
        <f>AH31*Допущения!$C$16/12</f>
        <v>8581192.1934212353</v>
      </c>
      <c r="AI32" s="26">
        <f>AI31*Допущения!$C$16/12</f>
        <v>9011437.9988535028</v>
      </c>
      <c r="AJ32" s="26">
        <f>AJ31*Допущения!$C$16/12</f>
        <v>9443289.4348067548</v>
      </c>
      <c r="AK32" s="26">
        <f>AK31*Допущения!$C$16/12</f>
        <v>9876854.1027165111</v>
      </c>
      <c r="AL32" s="26">
        <f>AL31*Допущения!$C$16/12</f>
        <v>10312239.867671235</v>
      </c>
    </row>
    <row r="33" spans="1:38" x14ac:dyDescent="0.3">
      <c r="A33" s="24" t="s">
        <v>104</v>
      </c>
      <c r="B33" s="2"/>
      <c r="C33" s="26">
        <f>C29*Допущения!$C$20/1000*Допущения!$C$21*Допущения!$C$22</f>
        <v>0</v>
      </c>
      <c r="D33" s="26">
        <f>D29*Допущения!$C$20/1000*Допущения!$C$21*Допущения!$C$22</f>
        <v>0</v>
      </c>
      <c r="E33" s="26">
        <f>E29*Допущения!$C$20/1000*Допущения!$C$21*Допущения!$C$22</f>
        <v>0</v>
      </c>
      <c r="F33" s="26">
        <f>F29*Допущения!$C$20/1000*Допущения!$C$21*Допущения!$C$22</f>
        <v>4800</v>
      </c>
      <c r="G33" s="26">
        <f>G29*Допущения!$C$20/1000*Допущения!$C$21*Допущения!$C$22</f>
        <v>4800</v>
      </c>
      <c r="H33" s="26">
        <f>H29*Допущения!$C$20/1000*Допущения!$C$21*Допущения!$C$22</f>
        <v>4800</v>
      </c>
      <c r="I33" s="26">
        <f>I29*Допущения!$C$20/1000*Допущения!$C$21*Допущения!$C$22</f>
        <v>22244.315993653152</v>
      </c>
      <c r="J33" s="26">
        <f>J29*Допущения!$C$20/1000*Допущения!$C$21*Допущения!$C$22</f>
        <v>45169.729386289357</v>
      </c>
      <c r="K33" s="26">
        <f>K29*Допущения!$C$20/1000*Допущения!$C$21*Допущения!$C$22</f>
        <v>68791.881038714404</v>
      </c>
      <c r="L33" s="26">
        <f>L29*Допущения!$C$20/1000*Допущения!$C$21*Допущения!$C$22</f>
        <v>93126.731082796861</v>
      </c>
      <c r="M33" s="26">
        <f>M29*Допущения!$C$20/1000*Допущения!$C$21*Допущения!$C$22</f>
        <v>118190.56503130666</v>
      </c>
      <c r="N33" s="26">
        <f>N29*Допущения!$C$20/1000*Допущения!$C$21*Допущения!$C$22</f>
        <v>144000</v>
      </c>
      <c r="O33" s="26">
        <f>O29*Допущения!$C$20/1000*Допущения!$C$21*Допущения!$C$22</f>
        <v>170571.99104395485</v>
      </c>
      <c r="P33" s="26">
        <f>P29*Допущения!$C$20/1000*Допущения!$C$21*Допущения!$C$22</f>
        <v>197923.8376101974</v>
      </c>
      <c r="Q33" s="26">
        <f>Q29*Допущения!$C$20/1000*Допущения!$C$21*Допущения!$C$22</f>
        <v>226073.19010869481</v>
      </c>
      <c r="R33" s="26">
        <f>R29*Допущения!$C$20/1000*Допущения!$C$21*Допущения!$C$22</f>
        <v>255038.05660382673</v>
      </c>
      <c r="S33" s="26">
        <f>S29*Допущения!$C$20/1000*Допущения!$C$21*Допущения!$C$22</f>
        <v>284836.80962848285</v>
      </c>
      <c r="T33" s="26">
        <f>T29*Допущения!$C$20/1000*Допущения!$C$21*Допущения!$C$22</f>
        <v>315488.19312297576</v>
      </c>
      <c r="U33" s="26">
        <f>U29*Допущения!$C$20/1000*Допущения!$C$21*Допущения!$C$22</f>
        <v>320318.15030860534</v>
      </c>
      <c r="V33" s="26">
        <f>V29*Допущения!$C$20/1000*Допущения!$C$21*Допущения!$C$22</f>
        <v>325222.05158128345</v>
      </c>
      <c r="W33" s="26">
        <f>W29*Допущения!$C$20/1000*Допущения!$C$21*Допущения!$C$22</f>
        <v>330201.02898582921</v>
      </c>
      <c r="X33" s="26">
        <f>X29*Допущения!$C$20/1000*Допущения!$C$21*Допущения!$C$22</f>
        <v>335256.23189806863</v>
      </c>
      <c r="Y33" s="26">
        <f>Y29*Допущения!$C$20/1000*Допущения!$C$21*Допущения!$C$22</f>
        <v>340388.82729016314</v>
      </c>
      <c r="Z33" s="26">
        <f>Z29*Допущения!$C$20/1000*Допущения!$C$21*Допущения!$C$22</f>
        <v>345600</v>
      </c>
      <c r="AA33" s="26">
        <f>AA29*Допущения!$C$20/1000*Допущения!$C$21*Допущения!$C$22</f>
        <v>350890.95300470717</v>
      </c>
      <c r="AB33" s="26">
        <f>AB29*Допущения!$C$20/1000*Допущения!$C$21*Допущения!$C$22</f>
        <v>356262.90769835527</v>
      </c>
      <c r="AC33" s="26">
        <f>AC29*Допущения!$C$20/1000*Допущения!$C$21*Допущения!$C$22</f>
        <v>361717.10417391168</v>
      </c>
      <c r="AD33" s="26">
        <f>AD29*Допущения!$C$20/1000*Допущения!$C$21*Допущения!$C$22</f>
        <v>367254.80150951043</v>
      </c>
      <c r="AE33" s="26">
        <f>AE29*Допущения!$C$20/1000*Допущения!$C$21*Допущения!$C$22</f>
        <v>372877.27805910492</v>
      </c>
      <c r="AF33" s="26">
        <f>AF29*Допущения!$C$20/1000*Допущения!$C$21*Допущения!$C$22</f>
        <v>378585.83174757089</v>
      </c>
      <c r="AG33" s="26">
        <f>AG29*Допущения!$C$20/1000*Допущения!$C$21*Допущения!$C$22</f>
        <v>384381.78037032654</v>
      </c>
      <c r="AH33" s="26">
        <f>AH29*Допущения!$C$20/1000*Допущения!$C$21*Допущения!$C$22</f>
        <v>390266.4618975402</v>
      </c>
      <c r="AI33" s="26">
        <f>AI29*Допущения!$C$20/1000*Допущения!$C$21*Допущения!$C$22</f>
        <v>396241.23478299502</v>
      </c>
      <c r="AJ33" s="26">
        <f>AJ29*Допущения!$C$20/1000*Допущения!$C$21*Допущения!$C$22</f>
        <v>402307.47827768238</v>
      </c>
      <c r="AK33" s="26">
        <f>AK29*Допущения!$C$20/1000*Допущения!$C$21*Допущения!$C$22</f>
        <v>408466.59274819575</v>
      </c>
      <c r="AL33" s="26">
        <f>AL29*Допущения!$C$20/1000*Допущения!$C$21*Допущения!$C$22</f>
        <v>414720</v>
      </c>
    </row>
    <row r="34" spans="1:38" x14ac:dyDescent="0.3">
      <c r="A34" s="24" t="s">
        <v>105</v>
      </c>
      <c r="B34" s="2"/>
      <c r="C34" s="26">
        <f>C29*Допущения!$C$17*Допущения!$C$23/12</f>
        <v>0</v>
      </c>
      <c r="D34" s="26">
        <f>D29*Допущения!$C$17*Допущения!$C$23/12</f>
        <v>0</v>
      </c>
      <c r="E34" s="26">
        <f>E29*Допущения!$C$17*Допущения!$C$23/12</f>
        <v>0</v>
      </c>
      <c r="F34" s="26">
        <f>F29*Допущения!$C$17*Допущения!$C$23/12</f>
        <v>10000</v>
      </c>
      <c r="G34" s="26">
        <f>G29*Допущения!$C$17*Допущения!$C$23/12</f>
        <v>10000</v>
      </c>
      <c r="H34" s="26">
        <f>H29*Допущения!$C$17*Допущения!$C$23/12</f>
        <v>10000</v>
      </c>
      <c r="I34" s="26">
        <f>I29*Допущения!$C$17*Допущения!$C$23/12</f>
        <v>46342.324986777407</v>
      </c>
      <c r="J34" s="26">
        <f>J29*Допущения!$C$17*Допущения!$C$23/12</f>
        <v>94103.602888102818</v>
      </c>
      <c r="K34" s="26">
        <f>K29*Допущения!$C$17*Допущения!$C$23/12</f>
        <v>143316.41883065502</v>
      </c>
      <c r="L34" s="26">
        <f>L29*Допущения!$C$17*Допущения!$C$23/12</f>
        <v>194014.02308916009</v>
      </c>
      <c r="M34" s="26">
        <f>M29*Допущения!$C$17*Допущения!$C$23/12</f>
        <v>246230.34381522224</v>
      </c>
      <c r="N34" s="26">
        <f>N29*Допущения!$C$17*Допущения!$C$23/12</f>
        <v>300000</v>
      </c>
      <c r="O34" s="26">
        <f>O29*Допущения!$C$17*Допущения!$C$23/12</f>
        <v>355358.31467490603</v>
      </c>
      <c r="P34" s="26">
        <f>P29*Допущения!$C$17*Допущения!$C$23/12</f>
        <v>412341.32835457782</v>
      </c>
      <c r="Q34" s="26">
        <f>Q29*Допущения!$C$17*Допущения!$C$23/12</f>
        <v>470985.81272644753</v>
      </c>
      <c r="R34" s="26">
        <f>R29*Допущения!$C$17*Допущения!$C$23/12</f>
        <v>531329.28459130565</v>
      </c>
      <c r="S34" s="26">
        <f>S29*Допущения!$C$17*Допущения!$C$23/12</f>
        <v>593410.02005933935</v>
      </c>
      <c r="T34" s="26">
        <f>T29*Допущения!$C$17*Допущения!$C$23/12</f>
        <v>657267.06900619948</v>
      </c>
      <c r="U34" s="26">
        <f>U29*Допущения!$C$17*Допущения!$C$23/12</f>
        <v>667329.47980959469</v>
      </c>
      <c r="V34" s="26">
        <f>V29*Допущения!$C$17*Допущения!$C$23/12</f>
        <v>677545.94079434045</v>
      </c>
      <c r="W34" s="26">
        <f>W29*Допущения!$C$17*Допущения!$C$23/12</f>
        <v>687918.81038714421</v>
      </c>
      <c r="X34" s="26">
        <f>X29*Допущения!$C$17*Допущения!$C$23/12</f>
        <v>698450.48312097625</v>
      </c>
      <c r="Y34" s="26">
        <f>Y29*Допущения!$C$17*Допущения!$C$23/12</f>
        <v>709143.39018783986</v>
      </c>
      <c r="Z34" s="26">
        <f>Z29*Допущения!$C$17*Допущения!$C$23/12</f>
        <v>720000</v>
      </c>
      <c r="AA34" s="26">
        <f>AA29*Допущения!$C$17*Допущения!$C$23/12</f>
        <v>731022.81875980657</v>
      </c>
      <c r="AB34" s="26">
        <f>AB29*Допущения!$C$17*Допущения!$C$23/12</f>
        <v>742214.39103824005</v>
      </c>
      <c r="AC34" s="26">
        <f>AC29*Допущения!$C$17*Допущения!$C$23/12</f>
        <v>753577.30036231596</v>
      </c>
      <c r="AD34" s="26">
        <f>AD29*Допущения!$C$17*Допущения!$C$23/12</f>
        <v>765114.1698114801</v>
      </c>
      <c r="AE34" s="26">
        <f>AE29*Допущения!$C$17*Допущения!$C$23/12</f>
        <v>776827.66262313502</v>
      </c>
      <c r="AF34" s="26">
        <f>AF29*Допущения!$C$17*Допущения!$C$23/12</f>
        <v>788720.48280743929</v>
      </c>
      <c r="AG34" s="26">
        <f>AG29*Допущения!$C$17*Допущения!$C$23/12</f>
        <v>800795.37577151356</v>
      </c>
      <c r="AH34" s="26">
        <f>AH29*Допущения!$C$17*Допущения!$C$23/12</f>
        <v>813055.12895320868</v>
      </c>
      <c r="AI34" s="26">
        <f>AI29*Допущения!$C$17*Допущения!$C$23/12</f>
        <v>825502.57246457285</v>
      </c>
      <c r="AJ34" s="26">
        <f>AJ29*Допущения!$C$17*Допущения!$C$23/12</f>
        <v>838140.57974517159</v>
      </c>
      <c r="AK34" s="26">
        <f>AK29*Допущения!$C$17*Допущения!$C$23/12</f>
        <v>850972.06822540786</v>
      </c>
      <c r="AL34" s="26">
        <f>AL29*Допущения!$C$17*Допущения!$C$23/12</f>
        <v>864000</v>
      </c>
    </row>
    <row r="35" spans="1:38" x14ac:dyDescent="0.3">
      <c r="A35" s="28" t="s">
        <v>106</v>
      </c>
      <c r="B35" s="2"/>
      <c r="C35" s="26">
        <f t="shared" ref="C35:AL35" si="5">SUM(C32:C34)</f>
        <v>0</v>
      </c>
      <c r="D35" s="26">
        <f t="shared" si="5"/>
        <v>0</v>
      </c>
      <c r="E35" s="26">
        <f t="shared" si="5"/>
        <v>0</v>
      </c>
      <c r="F35" s="26">
        <f t="shared" si="5"/>
        <v>21744.444444444445</v>
      </c>
      <c r="G35" s="26">
        <f t="shared" si="5"/>
        <v>28573.148148148146</v>
      </c>
      <c r="H35" s="26">
        <f t="shared" si="5"/>
        <v>35288.040123456783</v>
      </c>
      <c r="I35" s="26">
        <f t="shared" si="5"/>
        <v>120915.38389820294</v>
      </c>
      <c r="J35" s="26">
        <f t="shared" si="5"/>
        <v>256079.65370471752</v>
      </c>
      <c r="K35" s="26">
        <f t="shared" si="5"/>
        <v>426493.14013047761</v>
      </c>
      <c r="L35" s="26">
        <f t="shared" si="5"/>
        <v>632684.47424063005</v>
      </c>
      <c r="M35" s="26">
        <f t="shared" si="5"/>
        <v>875198.86123018397</v>
      </c>
      <c r="N35" s="26">
        <f t="shared" si="5"/>
        <v>1154598.3198439274</v>
      </c>
      <c r="O35" s="26">
        <f t="shared" si="5"/>
        <v>1471461.9276451853</v>
      </c>
      <c r="P35" s="26">
        <f t="shared" si="5"/>
        <v>1826386.0722163401</v>
      </c>
      <c r="Q35" s="26">
        <f t="shared" si="5"/>
        <v>2219984.7083758805</v>
      </c>
      <c r="R35" s="26">
        <f t="shared" si="5"/>
        <v>2652889.6214985983</v>
      </c>
      <c r="S35" s="26">
        <f t="shared" si="5"/>
        <v>3125750.6970274383</v>
      </c>
      <c r="T35" s="26">
        <f t="shared" si="5"/>
        <v>3639236.1962674358</v>
      </c>
      <c r="U35" s="26">
        <f t="shared" si="5"/>
        <v>4073110.4652219303</v>
      </c>
      <c r="V35" s="26">
        <f t="shared" si="5"/>
        <v>4507324.4613348069</v>
      </c>
      <c r="W35" s="26">
        <f t="shared" si="5"/>
        <v>4941988.4299516864</v>
      </c>
      <c r="X35" s="26">
        <f t="shared" si="5"/>
        <v>5377212.5534776784</v>
      </c>
      <c r="Y35" s="26">
        <f t="shared" si="5"/>
        <v>5813106.9795927713</v>
      </c>
      <c r="Z35" s="26">
        <f t="shared" si="5"/>
        <v>6249781.8494128548</v>
      </c>
      <c r="AA35" s="26">
        <f t="shared" si="5"/>
        <v>6687347.3256036863</v>
      </c>
      <c r="AB35" s="26">
        <f t="shared" si="5"/>
        <v>7125913.6204550043</v>
      </c>
      <c r="AC35" s="26">
        <f t="shared" si="5"/>
        <v>7565591.0239220476</v>
      </c>
      <c r="AD35" s="26">
        <f t="shared" si="5"/>
        <v>8006489.9316416858</v>
      </c>
      <c r="AE35" s="26">
        <f t="shared" si="5"/>
        <v>8448720.8729303218</v>
      </c>
      <c r="AF35" s="26">
        <f t="shared" si="5"/>
        <v>8892394.5387707893</v>
      </c>
      <c r="AG35" s="26">
        <f t="shared" si="5"/>
        <v>9337621.8097953498</v>
      </c>
      <c r="AH35" s="26">
        <f t="shared" si="5"/>
        <v>9784513.7842719853</v>
      </c>
      <c r="AI35" s="26">
        <f t="shared" si="5"/>
        <v>10233181.806101071</v>
      </c>
      <c r="AJ35" s="26">
        <f t="shared" si="5"/>
        <v>10683737.49282961</v>
      </c>
      <c r="AK35" s="26">
        <f t="shared" si="5"/>
        <v>11136292.763690114</v>
      </c>
      <c r="AL35" s="26">
        <f t="shared" si="5"/>
        <v>11590959.867671235</v>
      </c>
    </row>
    <row r="36" spans="1:38" x14ac:dyDescent="0.3">
      <c r="A36" s="24" t="s">
        <v>107</v>
      </c>
      <c r="B36" s="2"/>
      <c r="C36" s="26">
        <f>MAX(Допущения!$C$35,ROUNDUP(C29/Допущения!$C$34,0)+1)</f>
        <v>2</v>
      </c>
      <c r="D36" s="26">
        <f>MAX(Допущения!$C$35,ROUNDUP(D29/Допущения!$C$34,0)+1)</f>
        <v>2</v>
      </c>
      <c r="E36" s="26">
        <f>MAX(Допущения!$C$35,ROUNDUP(E29/Допущения!$C$34,0)+1)</f>
        <v>2</v>
      </c>
      <c r="F36" s="26">
        <f>MAX(Допущения!$C$35,ROUNDUP(F29/Допущения!$C$34,0)+1)</f>
        <v>2</v>
      </c>
      <c r="G36" s="26">
        <f>MAX(Допущения!$C$35,ROUNDUP(G29/Допущения!$C$34,0)+1)</f>
        <v>2</v>
      </c>
      <c r="H36" s="26">
        <f>MAX(Допущения!$C$35,ROUNDUP(H29/Допущения!$C$34,0)+1)</f>
        <v>2</v>
      </c>
      <c r="I36" s="26">
        <f>MAX(Допущения!$C$35,ROUNDUP(I29/Допущения!$C$34,0)+1)</f>
        <v>2</v>
      </c>
      <c r="J36" s="26">
        <f>MAX(Допущения!$C$35,ROUNDUP(J29/Допущения!$C$34,0)+1)</f>
        <v>2</v>
      </c>
      <c r="K36" s="26">
        <f>MAX(Допущения!$C$35,ROUNDUP(K29/Допущения!$C$34,0)+1)</f>
        <v>2</v>
      </c>
      <c r="L36" s="26">
        <f>MAX(Допущения!$C$35,ROUNDUP(L29/Допущения!$C$34,0)+1)</f>
        <v>2</v>
      </c>
      <c r="M36" s="26">
        <f>MAX(Допущения!$C$35,ROUNDUP(M29/Допущения!$C$34,0)+1)</f>
        <v>2</v>
      </c>
      <c r="N36" s="26">
        <f>MAX(Допущения!$C$35,ROUNDUP(N29/Допущения!$C$34,0)+1)</f>
        <v>2</v>
      </c>
      <c r="O36" s="26">
        <f>MAX(Допущения!$C$35,ROUNDUP(O29/Допущения!$C$34,0)+1)</f>
        <v>2</v>
      </c>
      <c r="P36" s="26">
        <f>MAX(Допущения!$C$35,ROUNDUP(P29/Допущения!$C$34,0)+1)</f>
        <v>3</v>
      </c>
      <c r="Q36" s="26">
        <f>MAX(Допущения!$C$35,ROUNDUP(Q29/Допущения!$C$34,0)+1)</f>
        <v>3</v>
      </c>
      <c r="R36" s="26">
        <f>MAX(Допущения!$C$35,ROUNDUP(R29/Допущения!$C$34,0)+1)</f>
        <v>3</v>
      </c>
      <c r="S36" s="26">
        <f>MAX(Допущения!$C$35,ROUNDUP(S29/Допущения!$C$34,0)+1)</f>
        <v>3</v>
      </c>
      <c r="T36" s="26">
        <f>MAX(Допущения!$C$35,ROUNDUP(T29/Допущения!$C$34,0)+1)</f>
        <v>3</v>
      </c>
      <c r="U36" s="26">
        <f>MAX(Допущения!$C$35,ROUNDUP(U29/Допущения!$C$34,0)+1)</f>
        <v>3</v>
      </c>
      <c r="V36" s="26">
        <f>MAX(Допущения!$C$35,ROUNDUP(V29/Допущения!$C$34,0)+1)</f>
        <v>3</v>
      </c>
      <c r="W36" s="26">
        <f>MAX(Допущения!$C$35,ROUNDUP(W29/Допущения!$C$34,0)+1)</f>
        <v>3</v>
      </c>
      <c r="X36" s="26">
        <f>MAX(Допущения!$C$35,ROUNDUP(X29/Допущения!$C$34,0)+1)</f>
        <v>3</v>
      </c>
      <c r="Y36" s="26">
        <f>MAX(Допущения!$C$35,ROUNDUP(Y29/Допущения!$C$34,0)+1)</f>
        <v>3</v>
      </c>
      <c r="Z36" s="26">
        <f>MAX(Допущения!$C$35,ROUNDUP(Z29/Допущения!$C$34,0)+1)</f>
        <v>3</v>
      </c>
      <c r="AA36" s="26">
        <f>MAX(Допущения!$C$35,ROUNDUP(AA29/Допущения!$C$34,0)+1)</f>
        <v>3</v>
      </c>
      <c r="AB36" s="26">
        <f>MAX(Допущения!$C$35,ROUNDUP(AB29/Допущения!$C$34,0)+1)</f>
        <v>3</v>
      </c>
      <c r="AC36" s="26">
        <f>MAX(Допущения!$C$35,ROUNDUP(AC29/Допущения!$C$34,0)+1)</f>
        <v>4</v>
      </c>
      <c r="AD36" s="26">
        <f>MAX(Допущения!$C$35,ROUNDUP(AD29/Допущения!$C$34,0)+1)</f>
        <v>4</v>
      </c>
      <c r="AE36" s="26">
        <f>MAX(Допущения!$C$35,ROUNDUP(AE29/Допущения!$C$34,0)+1)</f>
        <v>4</v>
      </c>
      <c r="AF36" s="26">
        <f>MAX(Допущения!$C$35,ROUNDUP(AF29/Допущения!$C$34,0)+1)</f>
        <v>4</v>
      </c>
      <c r="AG36" s="26">
        <f>MAX(Допущения!$C$35,ROUNDUP(AG29/Допущения!$C$34,0)+1)</f>
        <v>4</v>
      </c>
      <c r="AH36" s="26">
        <f>MAX(Допущения!$C$35,ROUNDUP(AH29/Допущения!$C$34,0)+1)</f>
        <v>4</v>
      </c>
      <c r="AI36" s="26">
        <f>MAX(Допущения!$C$35,ROUNDUP(AI29/Допущения!$C$34,0)+1)</f>
        <v>4</v>
      </c>
      <c r="AJ36" s="26">
        <f>MAX(Допущения!$C$35,ROUNDUP(AJ29/Допущения!$C$34,0)+1)</f>
        <v>4</v>
      </c>
      <c r="AK36" s="26">
        <f>MAX(Допущения!$C$35,ROUNDUP(AK29/Допущения!$C$34,0)+1)</f>
        <v>4</v>
      </c>
      <c r="AL36" s="26">
        <f>MAX(Допущения!$C$35,ROUNDUP(AL29/Допущения!$C$34,0)+1)</f>
        <v>4</v>
      </c>
    </row>
    <row r="37" spans="1:38" x14ac:dyDescent="0.3">
      <c r="A37" s="24" t="s">
        <v>108</v>
      </c>
      <c r="B37" s="2"/>
      <c r="C37" s="26">
        <f>(C36-0)*Допущения!$C$32</f>
        <v>8000000</v>
      </c>
      <c r="D37" s="26">
        <f>(D36-C36)*Допущения!$C$32</f>
        <v>0</v>
      </c>
      <c r="E37" s="26">
        <f>(E36-D36)*Допущения!$C$32</f>
        <v>0</v>
      </c>
      <c r="F37" s="26">
        <f>(F36-E36)*Допущения!$C$32</f>
        <v>0</v>
      </c>
      <c r="G37" s="26">
        <f>(G36-F36)*Допущения!$C$32</f>
        <v>0</v>
      </c>
      <c r="H37" s="26">
        <f>(H36-G36)*Допущения!$C$32</f>
        <v>0</v>
      </c>
      <c r="I37" s="26">
        <f>(I36-H36)*Допущения!$C$32</f>
        <v>0</v>
      </c>
      <c r="J37" s="26">
        <f>(J36-I36)*Допущения!$C$32</f>
        <v>0</v>
      </c>
      <c r="K37" s="26">
        <f>(K36-J36)*Допущения!$C$32</f>
        <v>0</v>
      </c>
      <c r="L37" s="26">
        <f>(L36-K36)*Допущения!$C$32</f>
        <v>0</v>
      </c>
      <c r="M37" s="26">
        <f>(M36-L36)*Допущения!$C$32</f>
        <v>0</v>
      </c>
      <c r="N37" s="26">
        <f>(N36-M36)*Допущения!$C$32</f>
        <v>0</v>
      </c>
      <c r="O37" s="26">
        <f>(O36-N36)*Допущения!$C$32</f>
        <v>0</v>
      </c>
      <c r="P37" s="26">
        <f>(P36-O36)*Допущения!$C$32</f>
        <v>4000000</v>
      </c>
      <c r="Q37" s="26">
        <f>(Q36-P36)*Допущения!$C$32</f>
        <v>0</v>
      </c>
      <c r="R37" s="26">
        <f>(R36-Q36)*Допущения!$C$32</f>
        <v>0</v>
      </c>
      <c r="S37" s="26">
        <f>(S36-R36)*Допущения!$C$32</f>
        <v>0</v>
      </c>
      <c r="T37" s="26">
        <f>(T36-S36)*Допущения!$C$32</f>
        <v>0</v>
      </c>
      <c r="U37" s="26">
        <f>(U36-T36)*Допущения!$C$32</f>
        <v>0</v>
      </c>
      <c r="V37" s="26">
        <f>(V36-U36)*Допущения!$C$32</f>
        <v>0</v>
      </c>
      <c r="W37" s="26">
        <f>(W36-V36)*Допущения!$C$32</f>
        <v>0</v>
      </c>
      <c r="X37" s="26">
        <f>(X36-W36)*Допущения!$C$32</f>
        <v>0</v>
      </c>
      <c r="Y37" s="26">
        <f>(Y36-X36)*Допущения!$C$32</f>
        <v>0</v>
      </c>
      <c r="Z37" s="26">
        <f>(Z36-Y36)*Допущения!$C$32</f>
        <v>0</v>
      </c>
      <c r="AA37" s="26">
        <f>(AA36-Z36)*Допущения!$C$32</f>
        <v>0</v>
      </c>
      <c r="AB37" s="26">
        <f>(AB36-AA36)*Допущения!$C$32</f>
        <v>0</v>
      </c>
      <c r="AC37" s="26">
        <f>(AC36-AB36)*Допущения!$C$32</f>
        <v>4000000</v>
      </c>
      <c r="AD37" s="26">
        <f>(AD36-AC36)*Допущения!$C$32</f>
        <v>0</v>
      </c>
      <c r="AE37" s="26">
        <f>(AE36-AD36)*Допущения!$C$32</f>
        <v>0</v>
      </c>
      <c r="AF37" s="26">
        <f>(AF36-AE36)*Допущения!$C$32</f>
        <v>0</v>
      </c>
      <c r="AG37" s="26">
        <f>(AG36-AF36)*Допущения!$C$32</f>
        <v>0</v>
      </c>
      <c r="AH37" s="26">
        <f>(AH36-AG36)*Допущения!$C$32</f>
        <v>0</v>
      </c>
      <c r="AI37" s="26">
        <f>(AI36-AH36)*Допущения!$C$32</f>
        <v>0</v>
      </c>
      <c r="AJ37" s="26">
        <f>(AJ36-AI36)*Допущения!$C$32</f>
        <v>0</v>
      </c>
      <c r="AK37" s="26">
        <f>(AK36-AJ36)*Допущения!$C$32</f>
        <v>0</v>
      </c>
      <c r="AL37" s="26">
        <f>(AL36-AK36)*Допущения!$C$32</f>
        <v>0</v>
      </c>
    </row>
    <row r="38" spans="1:38" x14ac:dyDescent="0.3">
      <c r="A38" s="24" t="s">
        <v>109</v>
      </c>
      <c r="B38" s="2"/>
      <c r="C38" s="26">
        <f>IF(C$27&lt;Допущения!$C$10,Допущения!$C$26,Допущения!$C$27)*Допущения!$C$25</f>
        <v>2400000</v>
      </c>
      <c r="D38" s="26">
        <f>IF(D$27&lt;Допущения!$C$10,Допущения!$C$26,Допущения!$C$27)*Допущения!$C$25</f>
        <v>2400000</v>
      </c>
      <c r="E38" s="26">
        <f>IF(E$27&lt;Допущения!$C$10,Допущения!$C$26,Допущения!$C$27)*Допущения!$C$25</f>
        <v>2400000</v>
      </c>
      <c r="F38" s="26">
        <f>IF(F$27&lt;Допущения!$C$10,Допущения!$C$26,Допущения!$C$27)*Допущения!$C$25</f>
        <v>2400000</v>
      </c>
      <c r="G38" s="26">
        <f>IF(G$27&lt;Допущения!$C$10,Допущения!$C$26,Допущения!$C$27)*Допущения!$C$25</f>
        <v>2400000</v>
      </c>
      <c r="H38" s="26">
        <f>IF(H$27&lt;Допущения!$C$10,Допущения!$C$26,Допущения!$C$27)*Допущения!$C$25</f>
        <v>2400000</v>
      </c>
      <c r="I38" s="26">
        <f>IF(I$27&lt;Допущения!$C$10,Допущения!$C$26,Допущения!$C$27)*Допущения!$C$25</f>
        <v>1200000</v>
      </c>
      <c r="J38" s="26">
        <f>IF(J$27&lt;Допущения!$C$10,Допущения!$C$26,Допущения!$C$27)*Допущения!$C$25</f>
        <v>1200000</v>
      </c>
      <c r="K38" s="26">
        <f>IF(K$27&lt;Допущения!$C$10,Допущения!$C$26,Допущения!$C$27)*Допущения!$C$25</f>
        <v>1200000</v>
      </c>
      <c r="L38" s="26">
        <f>IF(L$27&lt;Допущения!$C$10,Допущения!$C$26,Допущения!$C$27)*Допущения!$C$25</f>
        <v>1200000</v>
      </c>
      <c r="M38" s="26">
        <f>IF(M$27&lt;Допущения!$C$10,Допущения!$C$26,Допущения!$C$27)*Допущения!$C$25</f>
        <v>1200000</v>
      </c>
      <c r="N38" s="26">
        <f>IF(N$27&lt;Допущения!$C$10,Допущения!$C$26,Допущения!$C$27)*Допущения!$C$25</f>
        <v>1200000</v>
      </c>
      <c r="O38" s="26">
        <f>IF(O$27&lt;Допущения!$C$10,Допущения!$C$26,Допущения!$C$27)*Допущения!$C$25</f>
        <v>1200000</v>
      </c>
      <c r="P38" s="26">
        <f>IF(P$27&lt;Допущения!$C$10,Допущения!$C$26,Допущения!$C$27)*Допущения!$C$25</f>
        <v>1200000</v>
      </c>
      <c r="Q38" s="26">
        <f>IF(Q$27&lt;Допущения!$C$10,Допущения!$C$26,Допущения!$C$27)*Допущения!$C$25</f>
        <v>1200000</v>
      </c>
      <c r="R38" s="26">
        <f>IF(R$27&lt;Допущения!$C$10,Допущения!$C$26,Допущения!$C$27)*Допущения!$C$25</f>
        <v>1200000</v>
      </c>
      <c r="S38" s="26">
        <f>IF(S$27&lt;Допущения!$C$10,Допущения!$C$26,Допущения!$C$27)*Допущения!$C$25</f>
        <v>1200000</v>
      </c>
      <c r="T38" s="26">
        <f>IF(T$27&lt;Допущения!$C$10,Допущения!$C$26,Допущения!$C$27)*Допущения!$C$25</f>
        <v>1200000</v>
      </c>
      <c r="U38" s="26">
        <f>IF(U$27&lt;Допущения!$C$10,Допущения!$C$26,Допущения!$C$27)*Допущения!$C$25</f>
        <v>1200000</v>
      </c>
      <c r="V38" s="26">
        <f>IF(V$27&lt;Допущения!$C$10,Допущения!$C$26,Допущения!$C$27)*Допущения!$C$25</f>
        <v>1200000</v>
      </c>
      <c r="W38" s="26">
        <f>IF(W$27&lt;Допущения!$C$10,Допущения!$C$26,Допущения!$C$27)*Допущения!$C$25</f>
        <v>1200000</v>
      </c>
      <c r="X38" s="26">
        <f>IF(X$27&lt;Допущения!$C$10,Допущения!$C$26,Допущения!$C$27)*Допущения!$C$25</f>
        <v>1200000</v>
      </c>
      <c r="Y38" s="26">
        <f>IF(Y$27&lt;Допущения!$C$10,Допущения!$C$26,Допущения!$C$27)*Допущения!$C$25</f>
        <v>1200000</v>
      </c>
      <c r="Z38" s="26">
        <f>IF(Z$27&lt;Допущения!$C$10,Допущения!$C$26,Допущения!$C$27)*Допущения!$C$25</f>
        <v>1200000</v>
      </c>
      <c r="AA38" s="26">
        <f>IF(AA$27&lt;Допущения!$C$10,Допущения!$C$26,Допущения!$C$27)*Допущения!$C$25</f>
        <v>1200000</v>
      </c>
      <c r="AB38" s="26">
        <f>IF(AB$27&lt;Допущения!$C$10,Допущения!$C$26,Допущения!$C$27)*Допущения!$C$25</f>
        <v>1200000</v>
      </c>
      <c r="AC38" s="26">
        <f>IF(AC$27&lt;Допущения!$C$10,Допущения!$C$26,Допущения!$C$27)*Допущения!$C$25</f>
        <v>1200000</v>
      </c>
      <c r="AD38" s="26">
        <f>IF(AD$27&lt;Допущения!$C$10,Допущения!$C$26,Допущения!$C$27)*Допущения!$C$25</f>
        <v>1200000</v>
      </c>
      <c r="AE38" s="26">
        <f>IF(AE$27&lt;Допущения!$C$10,Допущения!$C$26,Допущения!$C$27)*Допущения!$C$25</f>
        <v>1200000</v>
      </c>
      <c r="AF38" s="26">
        <f>IF(AF$27&lt;Допущения!$C$10,Допущения!$C$26,Допущения!$C$27)*Допущения!$C$25</f>
        <v>1200000</v>
      </c>
      <c r="AG38" s="26">
        <f>IF(AG$27&lt;Допущения!$C$10,Допущения!$C$26,Допущения!$C$27)*Допущения!$C$25</f>
        <v>1200000</v>
      </c>
      <c r="AH38" s="26">
        <f>IF(AH$27&lt;Допущения!$C$10,Допущения!$C$26,Допущения!$C$27)*Допущения!$C$25</f>
        <v>1200000</v>
      </c>
      <c r="AI38" s="26">
        <f>IF(AI$27&lt;Допущения!$C$10,Допущения!$C$26,Допущения!$C$27)*Допущения!$C$25</f>
        <v>1200000</v>
      </c>
      <c r="AJ38" s="26">
        <f>IF(AJ$27&lt;Допущения!$C$10,Допущения!$C$26,Допущения!$C$27)*Допущения!$C$25</f>
        <v>1200000</v>
      </c>
      <c r="AK38" s="26">
        <f>IF(AK$27&lt;Допущения!$C$10,Допущения!$C$26,Допущения!$C$27)*Допущения!$C$25</f>
        <v>1200000</v>
      </c>
      <c r="AL38" s="26">
        <f>IF(AL$27&lt;Допущения!$C$10,Допущения!$C$26,Допущения!$C$27)*Допущения!$C$25</f>
        <v>1200000</v>
      </c>
    </row>
    <row r="39" spans="1:38" x14ac:dyDescent="0.3">
      <c r="A39" s="24" t="s">
        <v>110</v>
      </c>
      <c r="B39" s="2"/>
      <c r="C39" s="26">
        <f>Допущения!$C$28*Допущения!$C$29</f>
        <v>150000</v>
      </c>
      <c r="D39" s="26">
        <f>Допущения!$C$28*Допущения!$C$29</f>
        <v>150000</v>
      </c>
      <c r="E39" s="26">
        <f>Допущения!$C$28*Допущения!$C$29</f>
        <v>150000</v>
      </c>
      <c r="F39" s="26">
        <f>Допущения!$C$28*Допущения!$C$29</f>
        <v>150000</v>
      </c>
      <c r="G39" s="26">
        <f>Допущения!$C$28*Допущения!$C$29</f>
        <v>150000</v>
      </c>
      <c r="H39" s="26">
        <f>Допущения!$C$28*Допущения!$C$29</f>
        <v>150000</v>
      </c>
      <c r="I39" s="26">
        <f>Допущения!$C$28*Допущения!$C$29</f>
        <v>150000</v>
      </c>
      <c r="J39" s="26">
        <f>Допущения!$C$28*Допущения!$C$29</f>
        <v>150000</v>
      </c>
      <c r="K39" s="26">
        <f>Допущения!$C$28*Допущения!$C$29</f>
        <v>150000</v>
      </c>
      <c r="L39" s="26">
        <f>Допущения!$C$28*Допущения!$C$29</f>
        <v>150000</v>
      </c>
      <c r="M39" s="26">
        <f>Допущения!$C$28*Допущения!$C$29</f>
        <v>150000</v>
      </c>
      <c r="N39" s="26">
        <f>Допущения!$C$28*Допущения!$C$29</f>
        <v>150000</v>
      </c>
      <c r="O39" s="26">
        <f>Допущения!$C$28*Допущения!$C$29</f>
        <v>150000</v>
      </c>
      <c r="P39" s="26">
        <f>Допущения!$C$28*Допущения!$C$29</f>
        <v>150000</v>
      </c>
      <c r="Q39" s="26">
        <f>Допущения!$C$28*Допущения!$C$29</f>
        <v>150000</v>
      </c>
      <c r="R39" s="26">
        <f>Допущения!$C$28*Допущения!$C$29</f>
        <v>150000</v>
      </c>
      <c r="S39" s="26">
        <f>Допущения!$C$28*Допущения!$C$29</f>
        <v>150000</v>
      </c>
      <c r="T39" s="26">
        <f>Допущения!$C$28*Допущения!$C$29</f>
        <v>150000</v>
      </c>
      <c r="U39" s="26">
        <f>Допущения!$C$28*Допущения!$C$29</f>
        <v>150000</v>
      </c>
      <c r="V39" s="26">
        <f>Допущения!$C$28*Допущения!$C$29</f>
        <v>150000</v>
      </c>
      <c r="W39" s="26">
        <f>Допущения!$C$28*Допущения!$C$29</f>
        <v>150000</v>
      </c>
      <c r="X39" s="26">
        <f>Допущения!$C$28*Допущения!$C$29</f>
        <v>150000</v>
      </c>
      <c r="Y39" s="26">
        <f>Допущения!$C$28*Допущения!$C$29</f>
        <v>150000</v>
      </c>
      <c r="Z39" s="26">
        <f>Допущения!$C$28*Допущения!$C$29</f>
        <v>150000</v>
      </c>
      <c r="AA39" s="26">
        <f>Допущения!$C$28*Допущения!$C$29</f>
        <v>150000</v>
      </c>
      <c r="AB39" s="26">
        <f>Допущения!$C$28*Допущения!$C$29</f>
        <v>150000</v>
      </c>
      <c r="AC39" s="26">
        <f>Допущения!$C$28*Допущения!$C$29</f>
        <v>150000</v>
      </c>
      <c r="AD39" s="26">
        <f>Допущения!$C$28*Допущения!$C$29</f>
        <v>150000</v>
      </c>
      <c r="AE39" s="26">
        <f>Допущения!$C$28*Допущения!$C$29</f>
        <v>150000</v>
      </c>
      <c r="AF39" s="26">
        <f>Допущения!$C$28*Допущения!$C$29</f>
        <v>150000</v>
      </c>
      <c r="AG39" s="26">
        <f>Допущения!$C$28*Допущения!$C$29</f>
        <v>150000</v>
      </c>
      <c r="AH39" s="26">
        <f>Допущения!$C$28*Допущения!$C$29</f>
        <v>150000</v>
      </c>
      <c r="AI39" s="26">
        <f>Допущения!$C$28*Допущения!$C$29</f>
        <v>150000</v>
      </c>
      <c r="AJ39" s="26">
        <f>Допущения!$C$28*Допущения!$C$29</f>
        <v>150000</v>
      </c>
      <c r="AK39" s="26">
        <f>Допущения!$C$28*Допущения!$C$29</f>
        <v>150000</v>
      </c>
      <c r="AL39" s="26">
        <f>Допущения!$C$28*Допущения!$C$29</f>
        <v>150000</v>
      </c>
    </row>
    <row r="40" spans="1:38" x14ac:dyDescent="0.3">
      <c r="A40" s="24" t="s">
        <v>111</v>
      </c>
      <c r="B40" s="2"/>
      <c r="C40" s="26">
        <f>Допущения!$C$30/12</f>
        <v>125000</v>
      </c>
      <c r="D40" s="26">
        <f>Допущения!$C$30/12</f>
        <v>125000</v>
      </c>
      <c r="E40" s="26">
        <f>Допущения!$C$30/12</f>
        <v>125000</v>
      </c>
      <c r="F40" s="26">
        <f>Допущения!$C$30/12</f>
        <v>125000</v>
      </c>
      <c r="G40" s="26">
        <f>Допущения!$C$30/12</f>
        <v>125000</v>
      </c>
      <c r="H40" s="26">
        <f>Допущения!$C$30/12</f>
        <v>125000</v>
      </c>
      <c r="I40" s="26">
        <f>Допущения!$C$30/12</f>
        <v>125000</v>
      </c>
      <c r="J40" s="26">
        <f>Допущения!$C$30/12</f>
        <v>125000</v>
      </c>
      <c r="K40" s="26">
        <f>Допущения!$C$30/12</f>
        <v>125000</v>
      </c>
      <c r="L40" s="26">
        <f>Допущения!$C$30/12</f>
        <v>125000</v>
      </c>
      <c r="M40" s="26">
        <f>Допущения!$C$30/12</f>
        <v>125000</v>
      </c>
      <c r="N40" s="26">
        <f>Допущения!$C$30/12</f>
        <v>125000</v>
      </c>
      <c r="O40" s="26">
        <f>Допущения!$C$30/12</f>
        <v>125000</v>
      </c>
      <c r="P40" s="26">
        <f>Допущения!$C$30/12</f>
        <v>125000</v>
      </c>
      <c r="Q40" s="26">
        <f>Допущения!$C$30/12</f>
        <v>125000</v>
      </c>
      <c r="R40" s="26">
        <f>Допущения!$C$30/12</f>
        <v>125000</v>
      </c>
      <c r="S40" s="26">
        <f>Допущения!$C$30/12</f>
        <v>125000</v>
      </c>
      <c r="T40" s="26">
        <f>Допущения!$C$30/12</f>
        <v>125000</v>
      </c>
      <c r="U40" s="26">
        <f>Допущения!$C$30/12</f>
        <v>125000</v>
      </c>
      <c r="V40" s="26">
        <f>Допущения!$C$30/12</f>
        <v>125000</v>
      </c>
      <c r="W40" s="26">
        <f>Допущения!$C$30/12</f>
        <v>125000</v>
      </c>
      <c r="X40" s="26">
        <f>Допущения!$C$30/12</f>
        <v>125000</v>
      </c>
      <c r="Y40" s="26">
        <f>Допущения!$C$30/12</f>
        <v>125000</v>
      </c>
      <c r="Z40" s="26">
        <f>Допущения!$C$30/12</f>
        <v>125000</v>
      </c>
      <c r="AA40" s="26">
        <f>Допущения!$C$30/12</f>
        <v>125000</v>
      </c>
      <c r="AB40" s="26">
        <f>Допущения!$C$30/12</f>
        <v>125000</v>
      </c>
      <c r="AC40" s="26">
        <f>Допущения!$C$30/12</f>
        <v>125000</v>
      </c>
      <c r="AD40" s="26">
        <f>Допущения!$C$30/12</f>
        <v>125000</v>
      </c>
      <c r="AE40" s="26">
        <f>Допущения!$C$30/12</f>
        <v>125000</v>
      </c>
      <c r="AF40" s="26">
        <f>Допущения!$C$30/12</f>
        <v>125000</v>
      </c>
      <c r="AG40" s="26">
        <f>Допущения!$C$30/12</f>
        <v>125000</v>
      </c>
      <c r="AH40" s="26">
        <f>Допущения!$C$30/12</f>
        <v>125000</v>
      </c>
      <c r="AI40" s="26">
        <f>Допущения!$C$30/12</f>
        <v>125000</v>
      </c>
      <c r="AJ40" s="26">
        <f>Допущения!$C$30/12</f>
        <v>125000</v>
      </c>
      <c r="AK40" s="26">
        <f>Допущения!$C$30/12</f>
        <v>125000</v>
      </c>
      <c r="AL40" s="26">
        <f>Допущения!$C$30/12</f>
        <v>125000</v>
      </c>
    </row>
    <row r="41" spans="1:38" x14ac:dyDescent="0.3">
      <c r="A41" s="24" t="s">
        <v>112</v>
      </c>
      <c r="B41" s="2"/>
      <c r="C41" s="26">
        <f>IF(C$27&gt;=Допущения!$C$10,Допущения!$C$31/12,0)</f>
        <v>0</v>
      </c>
      <c r="D41" s="26">
        <f>IF(D$27&gt;=Допущения!$C$10,Допущения!$C$31/12,0)</f>
        <v>0</v>
      </c>
      <c r="E41" s="26">
        <f>IF(E$27&gt;=Допущения!$C$10,Допущения!$C$31/12,0)</f>
        <v>0</v>
      </c>
      <c r="F41" s="26">
        <f>IF(F$27&gt;=Допущения!$C$10,Допущения!$C$31/12,0)</f>
        <v>0</v>
      </c>
      <c r="G41" s="26">
        <f>IF(G$27&gt;=Допущения!$C$10,Допущения!$C$31/12,0)</f>
        <v>0</v>
      </c>
      <c r="H41" s="26">
        <f>IF(H$27&gt;=Допущения!$C$10,Допущения!$C$31/12,0)</f>
        <v>0</v>
      </c>
      <c r="I41" s="26">
        <f>IF(I$27&gt;=Допущения!$C$10,Допущения!$C$31/12,0)</f>
        <v>83333.333333333328</v>
      </c>
      <c r="J41" s="26">
        <f>IF(J$27&gt;=Допущения!$C$10,Допущения!$C$31/12,0)</f>
        <v>83333.333333333328</v>
      </c>
      <c r="K41" s="26">
        <f>IF(K$27&gt;=Допущения!$C$10,Допущения!$C$31/12,0)</f>
        <v>83333.333333333328</v>
      </c>
      <c r="L41" s="26">
        <f>IF(L$27&gt;=Допущения!$C$10,Допущения!$C$31/12,0)</f>
        <v>83333.333333333328</v>
      </c>
      <c r="M41" s="26">
        <f>IF(M$27&gt;=Допущения!$C$10,Допущения!$C$31/12,0)</f>
        <v>83333.333333333328</v>
      </c>
      <c r="N41" s="26">
        <f>IF(N$27&gt;=Допущения!$C$10,Допущения!$C$31/12,0)</f>
        <v>83333.333333333328</v>
      </c>
      <c r="O41" s="26">
        <f>IF(O$27&gt;=Допущения!$C$10,Допущения!$C$31/12,0)</f>
        <v>83333.333333333328</v>
      </c>
      <c r="P41" s="26">
        <f>IF(P$27&gt;=Допущения!$C$10,Допущения!$C$31/12,0)</f>
        <v>83333.333333333328</v>
      </c>
      <c r="Q41" s="26">
        <f>IF(Q$27&gt;=Допущения!$C$10,Допущения!$C$31/12,0)</f>
        <v>83333.333333333328</v>
      </c>
      <c r="R41" s="26">
        <f>IF(R$27&gt;=Допущения!$C$10,Допущения!$C$31/12,0)</f>
        <v>83333.333333333328</v>
      </c>
      <c r="S41" s="26">
        <f>IF(S$27&gt;=Допущения!$C$10,Допущения!$C$31/12,0)</f>
        <v>83333.333333333328</v>
      </c>
      <c r="T41" s="26">
        <f>IF(T$27&gt;=Допущения!$C$10,Допущения!$C$31/12,0)</f>
        <v>83333.333333333328</v>
      </c>
      <c r="U41" s="26">
        <f>IF(U$27&gt;=Допущения!$C$10,Допущения!$C$31/12,0)</f>
        <v>83333.333333333328</v>
      </c>
      <c r="V41" s="26">
        <f>IF(V$27&gt;=Допущения!$C$10,Допущения!$C$31/12,0)</f>
        <v>83333.333333333328</v>
      </c>
      <c r="W41" s="26">
        <f>IF(W$27&gt;=Допущения!$C$10,Допущения!$C$31/12,0)</f>
        <v>83333.333333333328</v>
      </c>
      <c r="X41" s="26">
        <f>IF(X$27&gt;=Допущения!$C$10,Допущения!$C$31/12,0)</f>
        <v>83333.333333333328</v>
      </c>
      <c r="Y41" s="26">
        <f>IF(Y$27&gt;=Допущения!$C$10,Допущения!$C$31/12,0)</f>
        <v>83333.333333333328</v>
      </c>
      <c r="Z41" s="26">
        <f>IF(Z$27&gt;=Допущения!$C$10,Допущения!$C$31/12,0)</f>
        <v>83333.333333333328</v>
      </c>
      <c r="AA41" s="26">
        <f>IF(AA$27&gt;=Допущения!$C$10,Допущения!$C$31/12,0)</f>
        <v>83333.333333333328</v>
      </c>
      <c r="AB41" s="26">
        <f>IF(AB$27&gt;=Допущения!$C$10,Допущения!$C$31/12,0)</f>
        <v>83333.333333333328</v>
      </c>
      <c r="AC41" s="26">
        <f>IF(AC$27&gt;=Допущения!$C$10,Допущения!$C$31/12,0)</f>
        <v>83333.333333333328</v>
      </c>
      <c r="AD41" s="26">
        <f>IF(AD$27&gt;=Допущения!$C$10,Допущения!$C$31/12,0)</f>
        <v>83333.333333333328</v>
      </c>
      <c r="AE41" s="26">
        <f>IF(AE$27&gt;=Допущения!$C$10,Допущения!$C$31/12,0)</f>
        <v>83333.333333333328</v>
      </c>
      <c r="AF41" s="26">
        <f>IF(AF$27&gt;=Допущения!$C$10,Допущения!$C$31/12,0)</f>
        <v>83333.333333333328</v>
      </c>
      <c r="AG41" s="26">
        <f>IF(AG$27&gt;=Допущения!$C$10,Допущения!$C$31/12,0)</f>
        <v>83333.333333333328</v>
      </c>
      <c r="AH41" s="26">
        <f>IF(AH$27&gt;=Допущения!$C$10,Допущения!$C$31/12,0)</f>
        <v>83333.333333333328</v>
      </c>
      <c r="AI41" s="26">
        <f>IF(AI$27&gt;=Допущения!$C$10,Допущения!$C$31/12,0)</f>
        <v>83333.333333333328</v>
      </c>
      <c r="AJ41" s="26">
        <f>IF(AJ$27&gt;=Допущения!$C$10,Допущения!$C$31/12,0)</f>
        <v>83333.333333333328</v>
      </c>
      <c r="AK41" s="26">
        <f>IF(AK$27&gt;=Допущения!$C$10,Допущения!$C$31/12,0)</f>
        <v>83333.333333333328</v>
      </c>
      <c r="AL41" s="26">
        <f>IF(AL$27&gt;=Допущения!$C$10,Допущения!$C$31/12,0)</f>
        <v>83333.333333333328</v>
      </c>
    </row>
    <row r="42" spans="1:38" x14ac:dyDescent="0.3">
      <c r="A42" s="24" t="s">
        <v>113</v>
      </c>
      <c r="B42" s="2"/>
      <c r="C42" s="26">
        <f>C36*Допущения!$C$32*Допущения!$C$33/12</f>
        <v>100000</v>
      </c>
      <c r="D42" s="26">
        <f>D36*Допущения!$C$32*Допущения!$C$33/12</f>
        <v>100000</v>
      </c>
      <c r="E42" s="26">
        <f>E36*Допущения!$C$32*Допущения!$C$33/12</f>
        <v>100000</v>
      </c>
      <c r="F42" s="26">
        <f>F36*Допущения!$C$32*Допущения!$C$33/12</f>
        <v>100000</v>
      </c>
      <c r="G42" s="26">
        <f>G36*Допущения!$C$32*Допущения!$C$33/12</f>
        <v>100000</v>
      </c>
      <c r="H42" s="26">
        <f>H36*Допущения!$C$32*Допущения!$C$33/12</f>
        <v>100000</v>
      </c>
      <c r="I42" s="26">
        <f>I36*Допущения!$C$32*Допущения!$C$33/12</f>
        <v>100000</v>
      </c>
      <c r="J42" s="26">
        <f>J36*Допущения!$C$32*Допущения!$C$33/12</f>
        <v>100000</v>
      </c>
      <c r="K42" s="26">
        <f>K36*Допущения!$C$32*Допущения!$C$33/12</f>
        <v>100000</v>
      </c>
      <c r="L42" s="26">
        <f>L36*Допущения!$C$32*Допущения!$C$33/12</f>
        <v>100000</v>
      </c>
      <c r="M42" s="26">
        <f>M36*Допущения!$C$32*Допущения!$C$33/12</f>
        <v>100000</v>
      </c>
      <c r="N42" s="26">
        <f>N36*Допущения!$C$32*Допущения!$C$33/12</f>
        <v>100000</v>
      </c>
      <c r="O42" s="26">
        <f>O36*Допущения!$C$32*Допущения!$C$33/12</f>
        <v>100000</v>
      </c>
      <c r="P42" s="26">
        <f>P36*Допущения!$C$32*Допущения!$C$33/12</f>
        <v>150000</v>
      </c>
      <c r="Q42" s="26">
        <f>Q36*Допущения!$C$32*Допущения!$C$33/12</f>
        <v>150000</v>
      </c>
      <c r="R42" s="26">
        <f>R36*Допущения!$C$32*Допущения!$C$33/12</f>
        <v>150000</v>
      </c>
      <c r="S42" s="26">
        <f>S36*Допущения!$C$32*Допущения!$C$33/12</f>
        <v>150000</v>
      </c>
      <c r="T42" s="26">
        <f>T36*Допущения!$C$32*Допущения!$C$33/12</f>
        <v>150000</v>
      </c>
      <c r="U42" s="26">
        <f>U36*Допущения!$C$32*Допущения!$C$33/12</f>
        <v>150000</v>
      </c>
      <c r="V42" s="26">
        <f>V36*Допущения!$C$32*Допущения!$C$33/12</f>
        <v>150000</v>
      </c>
      <c r="W42" s="26">
        <f>W36*Допущения!$C$32*Допущения!$C$33/12</f>
        <v>150000</v>
      </c>
      <c r="X42" s="26">
        <f>X36*Допущения!$C$32*Допущения!$C$33/12</f>
        <v>150000</v>
      </c>
      <c r="Y42" s="26">
        <f>Y36*Допущения!$C$32*Допущения!$C$33/12</f>
        <v>150000</v>
      </c>
      <c r="Z42" s="26">
        <f>Z36*Допущения!$C$32*Допущения!$C$33/12</f>
        <v>150000</v>
      </c>
      <c r="AA42" s="26">
        <f>AA36*Допущения!$C$32*Допущения!$C$33/12</f>
        <v>150000</v>
      </c>
      <c r="AB42" s="26">
        <f>AB36*Допущения!$C$32*Допущения!$C$33/12</f>
        <v>150000</v>
      </c>
      <c r="AC42" s="26">
        <f>AC36*Допущения!$C$32*Допущения!$C$33/12</f>
        <v>200000</v>
      </c>
      <c r="AD42" s="26">
        <f>AD36*Допущения!$C$32*Допущения!$C$33/12</f>
        <v>200000</v>
      </c>
      <c r="AE42" s="26">
        <f>AE36*Допущения!$C$32*Допущения!$C$33/12</f>
        <v>200000</v>
      </c>
      <c r="AF42" s="26">
        <f>AF36*Допущения!$C$32*Допущения!$C$33/12</f>
        <v>200000</v>
      </c>
      <c r="AG42" s="26">
        <f>AG36*Допущения!$C$32*Допущения!$C$33/12</f>
        <v>200000</v>
      </c>
      <c r="AH42" s="26">
        <f>AH36*Допущения!$C$32*Допущения!$C$33/12</f>
        <v>200000</v>
      </c>
      <c r="AI42" s="26">
        <f>AI36*Допущения!$C$32*Допущения!$C$33/12</f>
        <v>200000</v>
      </c>
      <c r="AJ42" s="26">
        <f>AJ36*Допущения!$C$32*Допущения!$C$33/12</f>
        <v>200000</v>
      </c>
      <c r="AK42" s="26">
        <f>AK36*Допущения!$C$32*Допущения!$C$33/12</f>
        <v>200000</v>
      </c>
      <c r="AL42" s="26">
        <f>AL36*Допущения!$C$32*Допущения!$C$33/12</f>
        <v>200000</v>
      </c>
    </row>
    <row r="43" spans="1:38" x14ac:dyDescent="0.3">
      <c r="A43" s="28" t="s">
        <v>114</v>
      </c>
      <c r="B43" s="2"/>
      <c r="C43" s="26">
        <f t="shared" ref="C43:AL43" si="6">SUM(C37:C42)</f>
        <v>10775000</v>
      </c>
      <c r="D43" s="26">
        <f t="shared" si="6"/>
        <v>2775000</v>
      </c>
      <c r="E43" s="26">
        <f t="shared" si="6"/>
        <v>2775000</v>
      </c>
      <c r="F43" s="26">
        <f t="shared" si="6"/>
        <v>2775000</v>
      </c>
      <c r="G43" s="26">
        <f t="shared" si="6"/>
        <v>2775000</v>
      </c>
      <c r="H43" s="26">
        <f t="shared" si="6"/>
        <v>2775000</v>
      </c>
      <c r="I43" s="26">
        <f t="shared" si="6"/>
        <v>1658333.3333333333</v>
      </c>
      <c r="J43" s="26">
        <f t="shared" si="6"/>
        <v>1658333.3333333333</v>
      </c>
      <c r="K43" s="26">
        <f t="shared" si="6"/>
        <v>1658333.3333333333</v>
      </c>
      <c r="L43" s="26">
        <f t="shared" si="6"/>
        <v>1658333.3333333333</v>
      </c>
      <c r="M43" s="26">
        <f t="shared" si="6"/>
        <v>1658333.3333333333</v>
      </c>
      <c r="N43" s="26">
        <f t="shared" si="6"/>
        <v>1658333.3333333333</v>
      </c>
      <c r="O43" s="26">
        <f t="shared" si="6"/>
        <v>1658333.3333333333</v>
      </c>
      <c r="P43" s="26">
        <f t="shared" si="6"/>
        <v>5708333.333333333</v>
      </c>
      <c r="Q43" s="26">
        <f t="shared" si="6"/>
        <v>1708333.3333333333</v>
      </c>
      <c r="R43" s="26">
        <f t="shared" si="6"/>
        <v>1708333.3333333333</v>
      </c>
      <c r="S43" s="26">
        <f t="shared" si="6"/>
        <v>1708333.3333333333</v>
      </c>
      <c r="T43" s="26">
        <f t="shared" si="6"/>
        <v>1708333.3333333333</v>
      </c>
      <c r="U43" s="26">
        <f t="shared" si="6"/>
        <v>1708333.3333333333</v>
      </c>
      <c r="V43" s="26">
        <f t="shared" si="6"/>
        <v>1708333.3333333333</v>
      </c>
      <c r="W43" s="26">
        <f t="shared" si="6"/>
        <v>1708333.3333333333</v>
      </c>
      <c r="X43" s="26">
        <f t="shared" si="6"/>
        <v>1708333.3333333333</v>
      </c>
      <c r="Y43" s="26">
        <f t="shared" si="6"/>
        <v>1708333.3333333333</v>
      </c>
      <c r="Z43" s="26">
        <f t="shared" si="6"/>
        <v>1708333.3333333333</v>
      </c>
      <c r="AA43" s="26">
        <f t="shared" si="6"/>
        <v>1708333.3333333333</v>
      </c>
      <c r="AB43" s="26">
        <f t="shared" si="6"/>
        <v>1708333.3333333333</v>
      </c>
      <c r="AC43" s="26">
        <f t="shared" si="6"/>
        <v>5758333.333333333</v>
      </c>
      <c r="AD43" s="26">
        <f t="shared" si="6"/>
        <v>1758333.3333333333</v>
      </c>
      <c r="AE43" s="26">
        <f t="shared" si="6"/>
        <v>1758333.3333333333</v>
      </c>
      <c r="AF43" s="26">
        <f t="shared" si="6"/>
        <v>1758333.3333333333</v>
      </c>
      <c r="AG43" s="26">
        <f t="shared" si="6"/>
        <v>1758333.3333333333</v>
      </c>
      <c r="AH43" s="26">
        <f t="shared" si="6"/>
        <v>1758333.3333333333</v>
      </c>
      <c r="AI43" s="26">
        <f t="shared" si="6"/>
        <v>1758333.3333333333</v>
      </c>
      <c r="AJ43" s="26">
        <f t="shared" si="6"/>
        <v>1758333.3333333333</v>
      </c>
      <c r="AK43" s="26">
        <f t="shared" si="6"/>
        <v>1758333.3333333333</v>
      </c>
      <c r="AL43" s="26">
        <f t="shared" si="6"/>
        <v>1758333.3333333333</v>
      </c>
    </row>
    <row r="44" spans="1:38" x14ac:dyDescent="0.3">
      <c r="A44" s="28" t="s">
        <v>115</v>
      </c>
      <c r="B44" s="2"/>
      <c r="C44" s="26">
        <f t="shared" ref="C44:AL44" si="7">C35-C43</f>
        <v>-10775000</v>
      </c>
      <c r="D44" s="26">
        <f t="shared" si="7"/>
        <v>-2775000</v>
      </c>
      <c r="E44" s="26">
        <f t="shared" si="7"/>
        <v>-2775000</v>
      </c>
      <c r="F44" s="26">
        <f t="shared" si="7"/>
        <v>-2753255.5555555555</v>
      </c>
      <c r="G44" s="26">
        <f t="shared" si="7"/>
        <v>-2746426.8518518517</v>
      </c>
      <c r="H44" s="26">
        <f t="shared" si="7"/>
        <v>-2739711.9598765434</v>
      </c>
      <c r="I44" s="26">
        <f t="shared" si="7"/>
        <v>-1537417.9494351302</v>
      </c>
      <c r="J44" s="26">
        <f t="shared" si="7"/>
        <v>-1402253.6796286157</v>
      </c>
      <c r="K44" s="26">
        <f t="shared" si="7"/>
        <v>-1231840.1932028555</v>
      </c>
      <c r="L44" s="26">
        <f t="shared" si="7"/>
        <v>-1025648.8590927032</v>
      </c>
      <c r="M44" s="26">
        <f t="shared" si="7"/>
        <v>-783134.47210314928</v>
      </c>
      <c r="N44" s="26">
        <f t="shared" si="7"/>
        <v>-503735.01348940586</v>
      </c>
      <c r="O44" s="26">
        <f t="shared" si="7"/>
        <v>-186871.40568814799</v>
      </c>
      <c r="P44" s="26">
        <f t="shared" si="7"/>
        <v>-3881947.2611169927</v>
      </c>
      <c r="Q44" s="26">
        <f t="shared" si="7"/>
        <v>511651.37504254724</v>
      </c>
      <c r="R44" s="26">
        <f t="shared" si="7"/>
        <v>944556.288165265</v>
      </c>
      <c r="S44" s="26">
        <f t="shared" si="7"/>
        <v>1417417.3636941051</v>
      </c>
      <c r="T44" s="26">
        <f t="shared" si="7"/>
        <v>1930902.8629341025</v>
      </c>
      <c r="U44" s="26">
        <f t="shared" si="7"/>
        <v>2364777.1318885973</v>
      </c>
      <c r="V44" s="26">
        <f t="shared" si="7"/>
        <v>2798991.1280014738</v>
      </c>
      <c r="W44" s="26">
        <f t="shared" si="7"/>
        <v>3233655.0966183534</v>
      </c>
      <c r="X44" s="26">
        <f t="shared" si="7"/>
        <v>3668879.2201443454</v>
      </c>
      <c r="Y44" s="26">
        <f t="shared" si="7"/>
        <v>4104773.6462594382</v>
      </c>
      <c r="Z44" s="26">
        <f t="shared" si="7"/>
        <v>4541448.5160795217</v>
      </c>
      <c r="AA44" s="26">
        <f t="shared" si="7"/>
        <v>4979013.9922703533</v>
      </c>
      <c r="AB44" s="26">
        <f t="shared" si="7"/>
        <v>5417580.2871216713</v>
      </c>
      <c r="AC44" s="26">
        <f t="shared" si="7"/>
        <v>1807257.6905887146</v>
      </c>
      <c r="AD44" s="26">
        <f t="shared" si="7"/>
        <v>6248156.5983083528</v>
      </c>
      <c r="AE44" s="26">
        <f t="shared" si="7"/>
        <v>6690387.5395969888</v>
      </c>
      <c r="AF44" s="26">
        <f t="shared" si="7"/>
        <v>7134061.2054374563</v>
      </c>
      <c r="AG44" s="26">
        <f t="shared" si="7"/>
        <v>7579288.4764620168</v>
      </c>
      <c r="AH44" s="26">
        <f t="shared" si="7"/>
        <v>8026180.4509386523</v>
      </c>
      <c r="AI44" s="26">
        <f t="shared" si="7"/>
        <v>8474848.4727677368</v>
      </c>
      <c r="AJ44" s="26">
        <f t="shared" si="7"/>
        <v>8925404.1594962757</v>
      </c>
      <c r="AK44" s="26">
        <f t="shared" si="7"/>
        <v>9377959.4303567801</v>
      </c>
      <c r="AL44" s="26">
        <f t="shared" si="7"/>
        <v>9832626.5343379006</v>
      </c>
    </row>
    <row r="45" spans="1:38" x14ac:dyDescent="0.3">
      <c r="A45" s="28" t="s">
        <v>116</v>
      </c>
      <c r="B45" s="2"/>
      <c r="C45" s="26">
        <f>0+C44</f>
        <v>-10775000</v>
      </c>
      <c r="D45" s="26">
        <f t="shared" ref="D45:AL45" si="8">C45+D44</f>
        <v>-13550000</v>
      </c>
      <c r="E45" s="26">
        <f t="shared" si="8"/>
        <v>-16325000</v>
      </c>
      <c r="F45" s="26">
        <f t="shared" si="8"/>
        <v>-19078255.555555556</v>
      </c>
      <c r="G45" s="26">
        <f t="shared" si="8"/>
        <v>-21824682.407407407</v>
      </c>
      <c r="H45" s="26">
        <f t="shared" si="8"/>
        <v>-24564394.367283951</v>
      </c>
      <c r="I45" s="26">
        <f t="shared" si="8"/>
        <v>-26101812.316719081</v>
      </c>
      <c r="J45" s="26">
        <f t="shared" si="8"/>
        <v>-27504065.996347696</v>
      </c>
      <c r="K45" s="26">
        <f t="shared" si="8"/>
        <v>-28735906.189550553</v>
      </c>
      <c r="L45" s="26">
        <f t="shared" si="8"/>
        <v>-29761555.048643257</v>
      </c>
      <c r="M45" s="26">
        <f t="shared" si="8"/>
        <v>-30544689.520746406</v>
      </c>
      <c r="N45" s="26">
        <f t="shared" si="8"/>
        <v>-31048424.534235813</v>
      </c>
      <c r="O45" s="26">
        <f t="shared" si="8"/>
        <v>-31235295.939923961</v>
      </c>
      <c r="P45" s="26">
        <f t="shared" si="8"/>
        <v>-35117243.201040953</v>
      </c>
      <c r="Q45" s="26">
        <f t="shared" si="8"/>
        <v>-34605591.825998403</v>
      </c>
      <c r="R45" s="26">
        <f t="shared" si="8"/>
        <v>-33661035.537833139</v>
      </c>
      <c r="S45" s="26">
        <f t="shared" si="8"/>
        <v>-32243618.174139034</v>
      </c>
      <c r="T45" s="26">
        <f t="shared" si="8"/>
        <v>-30312715.311204933</v>
      </c>
      <c r="U45" s="26">
        <f t="shared" si="8"/>
        <v>-27947938.179316334</v>
      </c>
      <c r="V45" s="26">
        <f t="shared" si="8"/>
        <v>-25148947.051314861</v>
      </c>
      <c r="W45" s="26">
        <f t="shared" si="8"/>
        <v>-21915291.954696506</v>
      </c>
      <c r="X45" s="26">
        <f t="shared" si="8"/>
        <v>-18246412.73455216</v>
      </c>
      <c r="Y45" s="26">
        <f t="shared" si="8"/>
        <v>-14141639.088292722</v>
      </c>
      <c r="Z45" s="26">
        <f t="shared" si="8"/>
        <v>-9600190.572213199</v>
      </c>
      <c r="AA45" s="26">
        <f t="shared" si="8"/>
        <v>-4621176.5799428457</v>
      </c>
      <c r="AB45" s="26">
        <f t="shared" si="8"/>
        <v>796403.70717882551</v>
      </c>
      <c r="AC45" s="26">
        <f t="shared" si="8"/>
        <v>2603661.3977675401</v>
      </c>
      <c r="AD45" s="26">
        <f t="shared" si="8"/>
        <v>8851817.9960758928</v>
      </c>
      <c r="AE45" s="26">
        <f t="shared" si="8"/>
        <v>15542205.535672881</v>
      </c>
      <c r="AF45" s="26">
        <f t="shared" si="8"/>
        <v>22676266.741110336</v>
      </c>
      <c r="AG45" s="26">
        <f t="shared" si="8"/>
        <v>30255555.217572354</v>
      </c>
      <c r="AH45" s="26">
        <f t="shared" si="8"/>
        <v>38281735.668511003</v>
      </c>
      <c r="AI45" s="26">
        <f t="shared" si="8"/>
        <v>46756584.141278744</v>
      </c>
      <c r="AJ45" s="26">
        <f t="shared" si="8"/>
        <v>55681988.300775021</v>
      </c>
      <c r="AK45" s="26">
        <f t="shared" si="8"/>
        <v>65059947.7311318</v>
      </c>
      <c r="AL45" s="26">
        <f t="shared" si="8"/>
        <v>74892574.2654697</v>
      </c>
    </row>
    <row r="46" spans="1:38" x14ac:dyDescent="0.3">
      <c r="A46" s="24" t="s">
        <v>117</v>
      </c>
      <c r="B46" s="2"/>
      <c r="C46" s="29" t="str">
        <f>IF(C45&gt;=0,C$27,"")</f>
        <v/>
      </c>
      <c r="D46" s="29" t="str">
        <f t="shared" ref="D46:AL46" si="9">IF(AND(D45&gt;=0,C45&lt;0),D$27,"")</f>
        <v/>
      </c>
      <c r="E46" s="29" t="str">
        <f t="shared" si="9"/>
        <v/>
      </c>
      <c r="F46" s="29" t="str">
        <f t="shared" si="9"/>
        <v/>
      </c>
      <c r="G46" s="29" t="str">
        <f t="shared" si="9"/>
        <v/>
      </c>
      <c r="H46" s="29" t="str">
        <f t="shared" si="9"/>
        <v/>
      </c>
      <c r="I46" s="29" t="str">
        <f t="shared" si="9"/>
        <v/>
      </c>
      <c r="J46" s="29" t="str">
        <f t="shared" si="9"/>
        <v/>
      </c>
      <c r="K46" s="29" t="str">
        <f t="shared" si="9"/>
        <v/>
      </c>
      <c r="L46" s="29" t="str">
        <f t="shared" si="9"/>
        <v/>
      </c>
      <c r="M46" s="29" t="str">
        <f t="shared" si="9"/>
        <v/>
      </c>
      <c r="N46" s="29" t="str">
        <f t="shared" si="9"/>
        <v/>
      </c>
      <c r="O46" s="29" t="str">
        <f t="shared" si="9"/>
        <v/>
      </c>
      <c r="P46" s="29" t="str">
        <f t="shared" si="9"/>
        <v/>
      </c>
      <c r="Q46" s="29" t="str">
        <f t="shared" si="9"/>
        <v/>
      </c>
      <c r="R46" s="29" t="str">
        <f t="shared" si="9"/>
        <v/>
      </c>
      <c r="S46" s="29" t="str">
        <f t="shared" si="9"/>
        <v/>
      </c>
      <c r="T46" s="29" t="str">
        <f t="shared" si="9"/>
        <v/>
      </c>
      <c r="U46" s="29" t="str">
        <f t="shared" si="9"/>
        <v/>
      </c>
      <c r="V46" s="29" t="str">
        <f t="shared" si="9"/>
        <v/>
      </c>
      <c r="W46" s="29" t="str">
        <f t="shared" si="9"/>
        <v/>
      </c>
      <c r="X46" s="29" t="str">
        <f t="shared" si="9"/>
        <v/>
      </c>
      <c r="Y46" s="29" t="str">
        <f t="shared" si="9"/>
        <v/>
      </c>
      <c r="Z46" s="29" t="str">
        <f t="shared" si="9"/>
        <v/>
      </c>
      <c r="AA46" s="29" t="str">
        <f t="shared" si="9"/>
        <v/>
      </c>
      <c r="AB46" s="29">
        <f t="shared" si="9"/>
        <v>26</v>
      </c>
      <c r="AC46" s="29" t="str">
        <f t="shared" si="9"/>
        <v/>
      </c>
      <c r="AD46" s="29" t="str">
        <f t="shared" si="9"/>
        <v/>
      </c>
      <c r="AE46" s="29" t="str">
        <f t="shared" si="9"/>
        <v/>
      </c>
      <c r="AF46" s="29" t="str">
        <f t="shared" si="9"/>
        <v/>
      </c>
      <c r="AG46" s="29" t="str">
        <f t="shared" si="9"/>
        <v/>
      </c>
      <c r="AH46" s="29" t="str">
        <f t="shared" si="9"/>
        <v/>
      </c>
      <c r="AI46" s="29" t="str">
        <f t="shared" si="9"/>
        <v/>
      </c>
      <c r="AJ46" s="29" t="str">
        <f t="shared" si="9"/>
        <v/>
      </c>
      <c r="AK46" s="29" t="str">
        <f t="shared" si="9"/>
        <v/>
      </c>
      <c r="AL46" s="29" t="str">
        <f t="shared" si="9"/>
        <v/>
      </c>
    </row>
    <row r="47" spans="1:38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38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x14ac:dyDescent="0.3">
      <c r="A49" s="3" t="s">
        <v>119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</row>
    <row r="50" spans="1:38" x14ac:dyDescent="0.3">
      <c r="A50" s="24" t="s">
        <v>98</v>
      </c>
      <c r="B50" s="2"/>
      <c r="C50" s="25">
        <v>1</v>
      </c>
      <c r="D50" s="25">
        <v>2</v>
      </c>
      <c r="E50" s="25">
        <v>3</v>
      </c>
      <c r="F50" s="25">
        <v>4</v>
      </c>
      <c r="G50" s="25">
        <v>5</v>
      </c>
      <c r="H50" s="25">
        <v>6</v>
      </c>
      <c r="I50" s="25">
        <v>7</v>
      </c>
      <c r="J50" s="25">
        <v>8</v>
      </c>
      <c r="K50" s="25">
        <v>9</v>
      </c>
      <c r="L50" s="25">
        <v>10</v>
      </c>
      <c r="M50" s="25">
        <v>11</v>
      </c>
      <c r="N50" s="25">
        <v>12</v>
      </c>
      <c r="O50" s="25">
        <v>13</v>
      </c>
      <c r="P50" s="25">
        <v>14</v>
      </c>
      <c r="Q50" s="25">
        <v>15</v>
      </c>
      <c r="R50" s="25">
        <v>16</v>
      </c>
      <c r="S50" s="25">
        <v>17</v>
      </c>
      <c r="T50" s="25">
        <v>18</v>
      </c>
      <c r="U50" s="25">
        <v>19</v>
      </c>
      <c r="V50" s="25">
        <v>20</v>
      </c>
      <c r="W50" s="25">
        <v>21</v>
      </c>
      <c r="X50" s="25">
        <v>22</v>
      </c>
      <c r="Y50" s="25">
        <v>23</v>
      </c>
      <c r="Z50" s="25">
        <v>24</v>
      </c>
      <c r="AA50" s="25">
        <v>25</v>
      </c>
      <c r="AB50" s="25">
        <v>26</v>
      </c>
      <c r="AC50" s="25">
        <v>27</v>
      </c>
      <c r="AD50" s="25">
        <v>28</v>
      </c>
      <c r="AE50" s="25">
        <v>29</v>
      </c>
      <c r="AF50" s="25">
        <v>30</v>
      </c>
      <c r="AG50" s="25">
        <v>31</v>
      </c>
      <c r="AH50" s="25">
        <v>32</v>
      </c>
      <c r="AI50" s="25">
        <v>33</v>
      </c>
      <c r="AJ50" s="25">
        <v>34</v>
      </c>
      <c r="AK50" s="25">
        <v>35</v>
      </c>
      <c r="AL50" s="25">
        <v>36</v>
      </c>
    </row>
    <row r="51" spans="1:38" x14ac:dyDescent="0.3">
      <c r="A51" s="24" t="s">
        <v>99</v>
      </c>
      <c r="B51" s="2"/>
      <c r="C51" s="26">
        <f>Допущения!$C$6*(1+Допущения!$C$7)^(C$50/12)</f>
        <v>1015309.4704997311</v>
      </c>
      <c r="D51" s="26">
        <f>Допущения!$C$6*(1+Допущения!$C$7)^(D$50/12)</f>
        <v>1030853.3208864445</v>
      </c>
      <c r="E51" s="26">
        <f>Допущения!$C$6*(1+Допущения!$C$7)^(E$50/12)</f>
        <v>1046635.1393921056</v>
      </c>
      <c r="F51" s="26">
        <f>Допущения!$C$6*(1+Допущения!$C$7)^(F$50/12)</f>
        <v>1062658.5691826111</v>
      </c>
      <c r="G51" s="26">
        <f>Допущения!$C$6*(1+Допущения!$C$7)^(G$50/12)</f>
        <v>1078927.3091987988</v>
      </c>
      <c r="H51" s="26">
        <f>Допущения!$C$6*(1+Допущения!$C$7)^(H$50/12)</f>
        <v>1095445.1150103321</v>
      </c>
      <c r="I51" s="26">
        <f>Допущения!$C$6*(1+Допущения!$C$7)^(I$50/12)</f>
        <v>1112215.7996826577</v>
      </c>
      <c r="J51" s="26">
        <f>Допущения!$C$6*(1+Допущения!$C$7)^(J$50/12)</f>
        <v>1129243.234657234</v>
      </c>
      <c r="K51" s="26">
        <f>Допущения!$C$6*(1+Допущения!$C$7)^(K$50/12)</f>
        <v>1146531.3506452402</v>
      </c>
      <c r="L51" s="26">
        <f>Допущения!$C$6*(1+Допущения!$C$7)^(L$50/12)</f>
        <v>1164084.1385349606</v>
      </c>
      <c r="M51" s="26">
        <f>Допущения!$C$6*(1+Допущения!$C$7)^(M$50/12)</f>
        <v>1181905.6503130666</v>
      </c>
      <c r="N51" s="26">
        <f>Допущения!$C$6*(1+Допущения!$C$7)^(N$50/12)</f>
        <v>1200000</v>
      </c>
      <c r="O51" s="26">
        <f>Допущения!$C$6*(1+Допущения!$C$7)^(O$50/12)</f>
        <v>1218371.3645996775</v>
      </c>
      <c r="P51" s="26">
        <f>Допущения!$C$6*(1+Допущения!$C$7)^(P$50/12)</f>
        <v>1237023.9850637335</v>
      </c>
      <c r="Q51" s="26">
        <f>Допущения!$C$6*(1+Допущения!$C$7)^(Q$50/12)</f>
        <v>1255962.1672705265</v>
      </c>
      <c r="R51" s="26">
        <f>Допущения!$C$6*(1+Допущения!$C$7)^(R$50/12)</f>
        <v>1275190.2830191334</v>
      </c>
      <c r="S51" s="26">
        <f>Допущения!$C$6*(1+Допущения!$C$7)^(S$50/12)</f>
        <v>1294712.7710385586</v>
      </c>
      <c r="T51" s="26">
        <f>Допущения!$C$6*(1+Допущения!$C$7)^(T$50/12)</f>
        <v>1314534.1380123987</v>
      </c>
      <c r="U51" s="26">
        <f>Допущения!$C$6*(1+Допущения!$C$7)^(U$50/12)</f>
        <v>1334658.9596191891</v>
      </c>
      <c r="V51" s="26">
        <f>Допущения!$C$6*(1+Допущения!$C$7)^(V$50/12)</f>
        <v>1355091.8815886809</v>
      </c>
      <c r="W51" s="26">
        <f>Допущения!$C$6*(1+Допущения!$C$7)^(W$50/12)</f>
        <v>1375837.6207742882</v>
      </c>
      <c r="X51" s="26">
        <f>Допущения!$C$6*(1+Допущения!$C$7)^(X$50/12)</f>
        <v>1396900.9662419525</v>
      </c>
      <c r="Y51" s="26">
        <f>Допущения!$C$6*(1+Допущения!$C$7)^(Y$50/12)</f>
        <v>1418286.7803756797</v>
      </c>
      <c r="Z51" s="26">
        <f>Допущения!$C$6*(1+Допущения!$C$7)^(Z$50/12)</f>
        <v>1440000</v>
      </c>
      <c r="AA51" s="26">
        <f>Допущения!$C$6*(1+Допущения!$C$7)^(AA$50/12)</f>
        <v>1462045.6375196129</v>
      </c>
      <c r="AB51" s="26">
        <f>Допущения!$C$6*(1+Допущения!$C$7)^(AB$50/12)</f>
        <v>1484428.7820764801</v>
      </c>
      <c r="AC51" s="26">
        <f>Допущения!$C$6*(1+Допущения!$C$7)^(AC$50/12)</f>
        <v>1507154.6007246319</v>
      </c>
      <c r="AD51" s="26">
        <f>Допущения!$C$6*(1+Допущения!$C$7)^(AD$50/12)</f>
        <v>1530228.33962296</v>
      </c>
      <c r="AE51" s="26">
        <f>Допущения!$C$6*(1+Допущения!$C$7)^(AE$50/12)</f>
        <v>1553655.32524627</v>
      </c>
      <c r="AF51" s="26">
        <f>Допущения!$C$6*(1+Допущения!$C$7)^(AF$50/12)</f>
        <v>1577440.9656148783</v>
      </c>
      <c r="AG51" s="26">
        <f>Допущения!$C$6*(1+Допущения!$C$7)^(AG$50/12)</f>
        <v>1601590.7515430269</v>
      </c>
      <c r="AH51" s="26">
        <f>Допущения!$C$6*(1+Допущения!$C$7)^(AH$50/12)</f>
        <v>1626110.2579064171</v>
      </c>
      <c r="AI51" s="26">
        <f>Допущения!$C$6*(1+Допущения!$C$7)^(AI$50/12)</f>
        <v>1651005.1449291457</v>
      </c>
      <c r="AJ51" s="26">
        <f>Допущения!$C$6*(1+Допущения!$C$7)^(AJ$50/12)</f>
        <v>1676281.159490343</v>
      </c>
      <c r="AK51" s="26">
        <f>Допущения!$C$6*(1+Допущения!$C$7)^(AK$50/12)</f>
        <v>1701944.1364508155</v>
      </c>
      <c r="AL51" s="26">
        <f>Допущения!$C$6*(1+Допущения!$C$7)^(AL$50/12)</f>
        <v>1728000</v>
      </c>
    </row>
    <row r="52" spans="1:38" x14ac:dyDescent="0.3">
      <c r="A52" s="24" t="s">
        <v>100</v>
      </c>
      <c r="B52" s="2"/>
      <c r="C52" s="26">
        <f>IF(C$50&lt;Допущения!$C$9,0,IF(C$50&lt;Допущения!$C$10,Допущения!$C$8*Допущения!$D$13,C51*Допущения!$D$13*MIN(1,(C$50-Допущения!$C$10+1)/Допущения!$C$11)))</f>
        <v>0</v>
      </c>
      <c r="D52" s="26">
        <f>IF(D$50&lt;Допущения!$C$9,0,IF(D$50&lt;Допущения!$C$10,Допущения!$C$8*Допущения!$D$13,D51*Допущения!$D$13*MIN(1,(D$50-Допущения!$C$10+1)/Допущения!$C$11)))</f>
        <v>0</v>
      </c>
      <c r="E52" s="26">
        <f>IF(E$50&lt;Допущения!$C$9,0,IF(E$50&lt;Допущения!$C$10,Допущения!$C$8*Допущения!$D$13,E51*Допущения!$D$13*MIN(1,(E$50-Допущения!$C$10+1)/Допущения!$C$11)))</f>
        <v>0</v>
      </c>
      <c r="F52" s="26">
        <f>IF(F$50&lt;Допущения!$C$9,0,IF(F$50&lt;Допущения!$C$10,Допущения!$C$8*Допущения!$D$13,F51*Допущения!$D$13*MIN(1,(F$50-Допущения!$C$10+1)/Допущения!$C$11)))</f>
        <v>6000</v>
      </c>
      <c r="G52" s="26">
        <f>IF(G$50&lt;Допущения!$C$9,0,IF(G$50&lt;Допущения!$C$10,Допущения!$C$8*Допущения!$D$13,G51*Допущения!$D$13*MIN(1,(G$50-Допущения!$C$10+1)/Допущения!$C$11)))</f>
        <v>6000</v>
      </c>
      <c r="H52" s="26">
        <f>IF(H$50&lt;Допущения!$C$9,0,IF(H$50&lt;Допущения!$C$10,Допущения!$C$8*Допущения!$D$13,H51*Допущения!$D$13*MIN(1,(H$50-Допущения!$C$10+1)/Допущения!$C$11)))</f>
        <v>6000</v>
      </c>
      <c r="I52" s="26">
        <f>IF(I$50&lt;Допущения!$C$9,0,IF(I$50&lt;Допущения!$C$10,Допущения!$C$8*Допущения!$D$13,I51*Допущения!$D$13*MIN(1,(I$50-Допущения!$C$10+1)/Допущения!$C$11)))</f>
        <v>27805.394992066438</v>
      </c>
      <c r="J52" s="26">
        <f>IF(J$50&lt;Допущения!$C$9,0,IF(J$50&lt;Допущения!$C$10,Допущения!$C$8*Допущения!$D$13,J51*Допущения!$D$13*MIN(1,(J$50-Допущения!$C$10+1)/Допущения!$C$11)))</f>
        <v>56462.161732861699</v>
      </c>
      <c r="K52" s="26">
        <f>IF(K$50&lt;Допущения!$C$9,0,IF(K$50&lt;Допущения!$C$10,Допущения!$C$8*Допущения!$D$13,K51*Допущения!$D$13*MIN(1,(K$50-Допущения!$C$10+1)/Допущения!$C$11)))</f>
        <v>85989.851298393012</v>
      </c>
      <c r="L52" s="26">
        <f>IF(L$50&lt;Допущения!$C$9,0,IF(L$50&lt;Допущения!$C$10,Допущения!$C$8*Допущения!$D$13,L51*Допущения!$D$13*MIN(1,(L$50-Допущения!$C$10+1)/Допущения!$C$11)))</f>
        <v>116408.41385349605</v>
      </c>
      <c r="M52" s="26">
        <f>IF(M$50&lt;Допущения!$C$9,0,IF(M$50&lt;Допущения!$C$10,Допущения!$C$8*Допущения!$D$13,M51*Допущения!$D$13*MIN(1,(M$50-Допущения!$C$10+1)/Допущения!$C$11)))</f>
        <v>147738.20628913332</v>
      </c>
      <c r="N52" s="26">
        <f>IF(N$50&lt;Допущения!$C$9,0,IF(N$50&lt;Допущения!$C$10,Допущения!$C$8*Допущения!$D$13,N51*Допущения!$D$13*MIN(1,(N$50-Допущения!$C$10+1)/Допущения!$C$11)))</f>
        <v>180000</v>
      </c>
      <c r="O52" s="26">
        <f>IF(O$50&lt;Допущения!$C$9,0,IF(O$50&lt;Допущения!$C$10,Допущения!$C$8*Допущения!$D$13,O51*Допущения!$D$13*MIN(1,(O$50-Допущения!$C$10+1)/Допущения!$C$11)))</f>
        <v>213214.98880494357</v>
      </c>
      <c r="P52" s="26">
        <f>IF(P$50&lt;Допущения!$C$9,0,IF(P$50&lt;Допущения!$C$10,Допущения!$C$8*Допущения!$D$13,P51*Допущения!$D$13*MIN(1,(P$50-Допущения!$C$10+1)/Допущения!$C$11)))</f>
        <v>247404.79701274668</v>
      </c>
      <c r="Q52" s="26">
        <f>IF(Q$50&lt;Допущения!$C$9,0,IF(Q$50&lt;Допущения!$C$10,Допущения!$C$8*Допущения!$D$13,Q51*Допущения!$D$13*MIN(1,(Q$50-Допущения!$C$10+1)/Допущения!$C$11)))</f>
        <v>282591.48763586843</v>
      </c>
      <c r="R52" s="26">
        <f>IF(R$50&lt;Допущения!$C$9,0,IF(R$50&lt;Допущения!$C$10,Допущения!$C$8*Допущения!$D$13,R51*Допущения!$D$13*MIN(1,(R$50-Допущения!$C$10+1)/Допущения!$C$11)))</f>
        <v>318797.57075478334</v>
      </c>
      <c r="S52" s="26">
        <f>IF(S$50&lt;Допущения!$C$9,0,IF(S$50&lt;Допущения!$C$10,Допущения!$C$8*Допущения!$D$13,S51*Допущения!$D$13*MIN(1,(S$50-Допущения!$C$10+1)/Допущения!$C$11)))</f>
        <v>356046.01203560358</v>
      </c>
      <c r="T52" s="26">
        <f>IF(T$50&lt;Допущения!$C$9,0,IF(T$50&lt;Допущения!$C$10,Допущения!$C$8*Допущения!$D$13,T51*Допущения!$D$13*MIN(1,(T$50-Допущения!$C$10+1)/Допущения!$C$11)))</f>
        <v>394360.24140371958</v>
      </c>
      <c r="U52" s="26">
        <f>IF(U$50&lt;Допущения!$C$9,0,IF(U$50&lt;Допущения!$C$10,Допущения!$C$8*Допущения!$D$13,U51*Допущения!$D$13*MIN(1,(U$50-Допущения!$C$10+1)/Допущения!$C$11)))</f>
        <v>400397.68788575672</v>
      </c>
      <c r="V52" s="26">
        <f>IF(V$50&lt;Допущения!$C$9,0,IF(V$50&lt;Допущения!$C$10,Допущения!$C$8*Допущения!$D$13,V51*Допущения!$D$13*MIN(1,(V$50-Допущения!$C$10+1)/Допущения!$C$11)))</f>
        <v>406527.56447660428</v>
      </c>
      <c r="W52" s="26">
        <f>IF(W$50&lt;Допущения!$C$9,0,IF(W$50&lt;Допущения!$C$10,Допущения!$C$8*Допущения!$D$13,W51*Допущения!$D$13*MIN(1,(W$50-Допущения!$C$10+1)/Допущения!$C$11)))</f>
        <v>412751.28623228642</v>
      </c>
      <c r="X52" s="26">
        <f>IF(X$50&lt;Допущения!$C$9,0,IF(X$50&lt;Допущения!$C$10,Допущения!$C$8*Допущения!$D$13,X51*Допущения!$D$13*MIN(1,(X$50-Допущения!$C$10+1)/Допущения!$C$11)))</f>
        <v>419070.28987258574</v>
      </c>
      <c r="Y52" s="26">
        <f>IF(Y$50&lt;Допущения!$C$9,0,IF(Y$50&lt;Допущения!$C$10,Допущения!$C$8*Допущения!$D$13,Y51*Допущения!$D$13*MIN(1,(Y$50-Допущения!$C$10+1)/Допущения!$C$11)))</f>
        <v>425486.03411270393</v>
      </c>
      <c r="Z52" s="26">
        <f>IF(Z$50&lt;Допущения!$C$9,0,IF(Z$50&lt;Допущения!$C$10,Допущения!$C$8*Допущения!$D$13,Z51*Допущения!$D$13*MIN(1,(Z$50-Допущения!$C$10+1)/Допущения!$C$11)))</f>
        <v>432000</v>
      </c>
      <c r="AA52" s="26">
        <f>IF(AA$50&lt;Допущения!$C$9,0,IF(AA$50&lt;Допущения!$C$10,Допущения!$C$8*Допущения!$D$13,AA51*Допущения!$D$13*MIN(1,(AA$50-Допущения!$C$10+1)/Допущения!$C$11)))</f>
        <v>438613.69125588384</v>
      </c>
      <c r="AB52" s="26">
        <f>IF(AB$50&lt;Допущения!$C$9,0,IF(AB$50&lt;Допущения!$C$10,Допущения!$C$8*Допущения!$D$13,AB51*Допущения!$D$13*MIN(1,(AB$50-Допущения!$C$10+1)/Допущения!$C$11)))</f>
        <v>445328.634622944</v>
      </c>
      <c r="AC52" s="26">
        <f>IF(AC$50&lt;Допущения!$C$9,0,IF(AC$50&lt;Допущения!$C$10,Допущения!$C$8*Допущения!$D$13,AC51*Допущения!$D$13*MIN(1,(AC$50-Допущения!$C$10+1)/Допущения!$C$11)))</f>
        <v>452146.38021738955</v>
      </c>
      <c r="AD52" s="26">
        <f>IF(AD$50&lt;Допущения!$C$9,0,IF(AD$50&lt;Допущения!$C$10,Допущения!$C$8*Допущения!$D$13,AD51*Допущения!$D$13*MIN(1,(AD$50-Допущения!$C$10+1)/Допущения!$C$11)))</f>
        <v>459068.501886888</v>
      </c>
      <c r="AE52" s="26">
        <f>IF(AE$50&lt;Допущения!$C$9,0,IF(AE$50&lt;Допущения!$C$10,Допущения!$C$8*Допущения!$D$13,AE51*Допущения!$D$13*MIN(1,(AE$50-Допущения!$C$10+1)/Допущения!$C$11)))</f>
        <v>466096.59757388098</v>
      </c>
      <c r="AF52" s="26">
        <f>IF(AF$50&lt;Допущения!$C$9,0,IF(AF$50&lt;Допущения!$C$10,Допущения!$C$8*Допущения!$D$13,AF51*Допущения!$D$13*MIN(1,(AF$50-Допущения!$C$10+1)/Допущения!$C$11)))</f>
        <v>473232.28968446347</v>
      </c>
      <c r="AG52" s="26">
        <f>IF(AG$50&lt;Допущения!$C$9,0,IF(AG$50&lt;Допущения!$C$10,Допущения!$C$8*Допущения!$D$13,AG51*Допущения!$D$13*MIN(1,(AG$50-Допущения!$C$10+1)/Допущения!$C$11)))</f>
        <v>480477.22546290804</v>
      </c>
      <c r="AH52" s="26">
        <f>IF(AH$50&lt;Допущения!$C$9,0,IF(AH$50&lt;Допущения!$C$10,Допущения!$C$8*Допущения!$D$13,AH51*Допущения!$D$13*MIN(1,(AH$50-Допущения!$C$10+1)/Допущения!$C$11)))</f>
        <v>487833.07737192512</v>
      </c>
      <c r="AI52" s="26">
        <f>IF(AI$50&lt;Допущения!$C$9,0,IF(AI$50&lt;Допущения!$C$10,Допущения!$C$8*Допущения!$D$13,AI51*Допущения!$D$13*MIN(1,(AI$50-Допущения!$C$10+1)/Допущения!$C$11)))</f>
        <v>495301.5434787437</v>
      </c>
      <c r="AJ52" s="26">
        <f>IF(AJ$50&lt;Допущения!$C$9,0,IF(AJ$50&lt;Допущения!$C$10,Допущения!$C$8*Допущения!$D$13,AJ51*Допущения!$D$13*MIN(1,(AJ$50-Допущения!$C$10+1)/Допущения!$C$11)))</f>
        <v>502884.34784710285</v>
      </c>
      <c r="AK52" s="26">
        <f>IF(AK$50&lt;Допущения!$C$9,0,IF(AK$50&lt;Допущения!$C$10,Допущения!$C$8*Допущения!$D$13,AK51*Допущения!$D$13*MIN(1,(AK$50-Допущения!$C$10+1)/Допущения!$C$11)))</f>
        <v>510583.2409352446</v>
      </c>
      <c r="AL52" s="26">
        <f>IF(AL$50&lt;Допущения!$C$9,0,IF(AL$50&lt;Допущения!$C$10,Допущения!$C$8*Допущения!$D$13,AL51*Допущения!$D$13*MIN(1,(AL$50-Допущения!$C$10+1)/Допущения!$C$11)))</f>
        <v>518400</v>
      </c>
    </row>
    <row r="53" spans="1:38" x14ac:dyDescent="0.3">
      <c r="A53" s="24" t="s">
        <v>101</v>
      </c>
      <c r="B53" s="2"/>
      <c r="C53" s="27">
        <f>C52*Допущения!$D$14/12*Допущения!$D$15</f>
        <v>0</v>
      </c>
      <c r="D53" s="27">
        <f>D52*Допущения!$D$14/12*Допущения!$D$15</f>
        <v>0</v>
      </c>
      <c r="E53" s="27">
        <f>E52*Допущения!$D$14/12*Допущения!$D$15</f>
        <v>0</v>
      </c>
      <c r="F53" s="27">
        <f>F52*Допущения!$D$14/12*Допущения!$D$15</f>
        <v>9</v>
      </c>
      <c r="G53" s="27">
        <f>G52*Допущения!$D$14/12*Допущения!$D$15</f>
        <v>9</v>
      </c>
      <c r="H53" s="27">
        <f>H52*Допущения!$D$14/12*Допущения!$D$15</f>
        <v>9</v>
      </c>
      <c r="I53" s="27">
        <f>I52*Допущения!$D$14/12*Допущения!$D$15</f>
        <v>41.708092488099652</v>
      </c>
      <c r="J53" s="27">
        <f>J52*Допущения!$D$14/12*Допущения!$D$15</f>
        <v>84.693242599292532</v>
      </c>
      <c r="K53" s="27">
        <f>K52*Допущения!$D$14/12*Допущения!$D$15</f>
        <v>128.98477694758952</v>
      </c>
      <c r="L53" s="27">
        <f>L52*Допущения!$D$14/12*Допущения!$D$15</f>
        <v>174.61262078024404</v>
      </c>
      <c r="M53" s="27">
        <f>M52*Допущения!$D$14/12*Допущения!$D$15</f>
        <v>221.60730943369992</v>
      </c>
      <c r="N53" s="27">
        <f>N52*Допущения!$D$14/12*Допущения!$D$15</f>
        <v>270</v>
      </c>
      <c r="O53" s="27">
        <f>O52*Допущения!$D$14/12*Допущения!$D$15</f>
        <v>319.8224832074153</v>
      </c>
      <c r="P53" s="27">
        <f>P52*Допущения!$D$14/12*Допущения!$D$15</f>
        <v>371.10719551912001</v>
      </c>
      <c r="Q53" s="27">
        <f>Q52*Допущения!$D$14/12*Допущения!$D$15</f>
        <v>423.8872314538026</v>
      </c>
      <c r="R53" s="27">
        <f>R52*Допущения!$D$14/12*Допущения!$D$15</f>
        <v>478.19635613217497</v>
      </c>
      <c r="S53" s="27">
        <f>S52*Допущения!$D$14/12*Допущения!$D$15</f>
        <v>534.06901805340533</v>
      </c>
      <c r="T53" s="27">
        <f>T52*Допущения!$D$14/12*Допущения!$D$15</f>
        <v>591.54036210557933</v>
      </c>
      <c r="U53" s="27">
        <f>U52*Допущения!$D$14/12*Допущения!$D$15</f>
        <v>600.59653182863508</v>
      </c>
      <c r="V53" s="27">
        <f>V52*Допущения!$D$14/12*Допущения!$D$15</f>
        <v>609.79134671490635</v>
      </c>
      <c r="W53" s="27">
        <f>W52*Допущения!$D$14/12*Допущения!$D$15</f>
        <v>619.1269293484296</v>
      </c>
      <c r="X53" s="27">
        <f>X52*Допущения!$D$14/12*Допущения!$D$15</f>
        <v>628.60543480887861</v>
      </c>
      <c r="Y53" s="27">
        <f>Y52*Допущения!$D$14/12*Допущения!$D$15</f>
        <v>638.22905116905577</v>
      </c>
      <c r="Z53" s="27">
        <f>Z52*Допущения!$D$14/12*Допущения!$D$15</f>
        <v>648</v>
      </c>
      <c r="AA53" s="27">
        <f>AA52*Допущения!$D$14/12*Допущения!$D$15</f>
        <v>657.92053688382566</v>
      </c>
      <c r="AB53" s="27">
        <f>AB52*Допущения!$D$14/12*Допущения!$D$15</f>
        <v>667.99295193441594</v>
      </c>
      <c r="AC53" s="27">
        <f>AC52*Допущения!$D$14/12*Допущения!$D$15</f>
        <v>678.21957032608429</v>
      </c>
      <c r="AD53" s="27">
        <f>AD52*Допущения!$D$14/12*Допущения!$D$15</f>
        <v>688.60275283033195</v>
      </c>
      <c r="AE53" s="27">
        <f>AE52*Допущения!$D$14/12*Допущения!$D$15</f>
        <v>699.14489636082146</v>
      </c>
      <c r="AF53" s="27">
        <f>AF52*Допущения!$D$14/12*Допущения!$D$15</f>
        <v>709.8484345266952</v>
      </c>
      <c r="AG53" s="27">
        <f>AG52*Допущения!$D$14/12*Допущения!$D$15</f>
        <v>720.71583819436194</v>
      </c>
      <c r="AH53" s="27">
        <f>AH52*Допущения!$D$14/12*Допущения!$D$15</f>
        <v>731.74961605788758</v>
      </c>
      <c r="AI53" s="27">
        <f>AI52*Допущения!$D$14/12*Допущения!$D$15</f>
        <v>742.95231521811547</v>
      </c>
      <c r="AJ53" s="27">
        <f>AJ52*Допущения!$D$14/12*Допущения!$D$15</f>
        <v>754.32652177065427</v>
      </c>
      <c r="AK53" s="27">
        <f>AK52*Допущения!$D$14/12*Допущения!$D$15</f>
        <v>765.87486140286671</v>
      </c>
      <c r="AL53" s="27">
        <f>AL52*Допущения!$D$14/12*Допущения!$D$15</f>
        <v>777.6</v>
      </c>
    </row>
    <row r="54" spans="1:38" x14ac:dyDescent="0.3">
      <c r="A54" s="24" t="s">
        <v>102</v>
      </c>
      <c r="B54" s="2"/>
      <c r="C54" s="27">
        <f>0*(1-Допущения!$C$19/12)+C53</f>
        <v>0</v>
      </c>
      <c r="D54" s="27">
        <f>C54*(1-Допущения!$C$19/12)+D53</f>
        <v>0</v>
      </c>
      <c r="E54" s="27">
        <f>D54*(1-Допущения!$C$19/12)+E53</f>
        <v>0</v>
      </c>
      <c r="F54" s="27">
        <f>E54*(1-Допущения!$C$19/12)+F53</f>
        <v>9</v>
      </c>
      <c r="G54" s="27">
        <f>F54*(1-Допущения!$C$19/12)+G53</f>
        <v>17.850000000000001</v>
      </c>
      <c r="H54" s="27">
        <f>G54*(1-Допущения!$C$19/12)+H53</f>
        <v>26.552500000000002</v>
      </c>
      <c r="I54" s="27">
        <f>H54*(1-Допущения!$C$19/12)+I53</f>
        <v>67.81805082143299</v>
      </c>
      <c r="J54" s="27">
        <f>I54*(1-Допущения!$C$19/12)+J53</f>
        <v>151.38099257370163</v>
      </c>
      <c r="K54" s="27">
        <f>J54*(1-Допущения!$C$19/12)+K53</f>
        <v>277.84275297839611</v>
      </c>
      <c r="L54" s="27">
        <f>K54*(1-Допущения!$C$19/12)+L53</f>
        <v>447.82466120900017</v>
      </c>
      <c r="M54" s="27">
        <f>L54*(1-Допущения!$C$19/12)+M53</f>
        <v>661.96822628921677</v>
      </c>
      <c r="N54" s="27">
        <f>M54*(1-Допущения!$C$19/12)+N53</f>
        <v>920.93542251772976</v>
      </c>
      <c r="O54" s="27">
        <f>N54*(1-Допущения!$C$19/12)+O53</f>
        <v>1225.4089820165163</v>
      </c>
      <c r="P54" s="27">
        <f>O54*(1-Допущения!$C$19/12)+P53</f>
        <v>1576.0926945020278</v>
      </c>
      <c r="Q54" s="27">
        <f>P54*(1-Допущения!$C$19/12)+Q53</f>
        <v>1973.7117143807966</v>
      </c>
      <c r="R54" s="27">
        <f>Q54*(1-Допущения!$C$19/12)+R53</f>
        <v>2419.0128752732917</v>
      </c>
      <c r="S54" s="27">
        <f>R54*(1-Допущения!$C$19/12)+S53</f>
        <v>2912.7650120721419</v>
      </c>
      <c r="T54" s="27">
        <f>S54*(1-Допущения!$C$19/12)+T53</f>
        <v>3455.7592906431855</v>
      </c>
      <c r="U54" s="27">
        <f>T54*(1-Допущения!$C$19/12)+U53</f>
        <v>3998.7598342944339</v>
      </c>
      <c r="V54" s="27">
        <f>U54*(1-Допущения!$C$19/12)+V53</f>
        <v>4541.9051837710995</v>
      </c>
      <c r="W54" s="27">
        <f>V54*(1-Допущения!$C$19/12)+W53</f>
        <v>5085.33369339001</v>
      </c>
      <c r="X54" s="27">
        <f>W54*(1-Допущения!$C$19/12)+X53</f>
        <v>5629.1835666423876</v>
      </c>
      <c r="Y54" s="27">
        <f>X54*(1-Допущения!$C$19/12)+Y53</f>
        <v>6173.5928917007368</v>
      </c>
      <c r="Z54" s="27">
        <f>Y54*(1-Допущения!$C$19/12)+Z53</f>
        <v>6718.6996768390572</v>
      </c>
      <c r="AA54" s="27">
        <f>Z54*(1-Допущения!$C$19/12)+AA53</f>
        <v>7264.6418857755652</v>
      </c>
      <c r="AB54" s="27">
        <f>AA54*(1-Допущения!$C$19/12)+AB53</f>
        <v>7811.5574729470545</v>
      </c>
      <c r="AC54" s="27">
        <f>AB54*(1-Допущения!$C$19/12)+AC53</f>
        <v>8359.5844187240218</v>
      </c>
      <c r="AD54" s="27">
        <f>AC54*(1-Допущения!$C$19/12)+AD53</f>
        <v>8908.8607645756183</v>
      </c>
      <c r="AE54" s="27">
        <f>AD54*(1-Допущения!$C$19/12)+AE53</f>
        <v>9459.5246481935119</v>
      </c>
      <c r="AF54" s="27">
        <f>AE54*(1-Допущения!$C$19/12)+AF53</f>
        <v>10011.714338583648</v>
      </c>
      <c r="AG54" s="27">
        <f>AF54*(1-Допущения!$C$19/12)+AG53</f>
        <v>10565.568271134949</v>
      </c>
      <c r="AH54" s="27">
        <f>AG54*(1-Допущения!$C$19/12)+AH53</f>
        <v>11121.225082673922</v>
      </c>
      <c r="AI54" s="27">
        <f>AH54*(1-Допущения!$C$19/12)+AI53</f>
        <v>11678.823646514138</v>
      </c>
      <c r="AJ54" s="27">
        <f>AI54*(1-Допущения!$C$19/12)+AJ53</f>
        <v>12238.503107509556</v>
      </c>
      <c r="AK54" s="27">
        <f>AJ54*(1-Допущения!$C$19/12)+AK53</f>
        <v>12800.402917120595</v>
      </c>
      <c r="AL54" s="27">
        <f>AK54*(1-Допущения!$C$19/12)+AL53</f>
        <v>13364.662868501919</v>
      </c>
    </row>
    <row r="55" spans="1:38" x14ac:dyDescent="0.3">
      <c r="A55" s="24" t="s">
        <v>103</v>
      </c>
      <c r="B55" s="2"/>
      <c r="C55" s="26">
        <f>C54*Допущения!$D$16/12</f>
        <v>0</v>
      </c>
      <c r="D55" s="26">
        <f>D54*Допущения!$D$16/12</f>
        <v>0</v>
      </c>
      <c r="E55" s="26">
        <f>E54*Допущения!$D$16/12</f>
        <v>0</v>
      </c>
      <c r="F55" s="26">
        <f>F54*Допущения!$D$16/12</f>
        <v>26250</v>
      </c>
      <c r="G55" s="26">
        <f>G54*Допущения!$D$16/12</f>
        <v>52062.5</v>
      </c>
      <c r="H55" s="26">
        <f>H54*Допущения!$D$16/12</f>
        <v>77444.791666666672</v>
      </c>
      <c r="I55" s="26">
        <f>I54*Допущения!$D$16/12</f>
        <v>197802.64822917955</v>
      </c>
      <c r="J55" s="26">
        <f>J54*Допущения!$D$16/12</f>
        <v>441527.89500662981</v>
      </c>
      <c r="K55" s="26">
        <f>K54*Допущения!$D$16/12</f>
        <v>810374.69618698861</v>
      </c>
      <c r="L55" s="26">
        <f>L54*Допущения!$D$16/12</f>
        <v>1306155.2618595839</v>
      </c>
      <c r="M55" s="26">
        <f>M54*Допущения!$D$16/12</f>
        <v>1930740.6600102156</v>
      </c>
      <c r="N55" s="26">
        <f>N54*Допущения!$D$16/12</f>
        <v>2686061.649010045</v>
      </c>
      <c r="O55" s="26">
        <f>O54*Допущения!$D$16/12</f>
        <v>3574109.5308815059</v>
      </c>
      <c r="P55" s="26">
        <f>P54*Допущения!$D$16/12</f>
        <v>4596937.0256309146</v>
      </c>
      <c r="Q55" s="26">
        <f>Q54*Допущения!$D$16/12</f>
        <v>5756659.1669439897</v>
      </c>
      <c r="R55" s="26">
        <f>R54*Допущения!$D$16/12</f>
        <v>7055454.2195471004</v>
      </c>
      <c r="S55" s="26">
        <f>S54*Допущения!$D$16/12</f>
        <v>8495564.6185437459</v>
      </c>
      <c r="T55" s="26">
        <f>T54*Допущения!$D$16/12</f>
        <v>10079297.931042625</v>
      </c>
      <c r="U55" s="26">
        <f>U54*Допущения!$D$16/12</f>
        <v>11663049.5166921</v>
      </c>
      <c r="V55" s="26">
        <f>V54*Допущения!$D$16/12</f>
        <v>13247223.452665707</v>
      </c>
      <c r="W55" s="26">
        <f>W54*Допущения!$D$16/12</f>
        <v>14832223.272387529</v>
      </c>
      <c r="X55" s="26">
        <f>X54*Допущения!$D$16/12</f>
        <v>16418452.06937363</v>
      </c>
      <c r="Y55" s="26">
        <f>Y54*Допущения!$D$16/12</f>
        <v>18006312.600793816</v>
      </c>
      <c r="Z55" s="26">
        <f>Z54*Допущения!$D$16/12</f>
        <v>19596207.390780583</v>
      </c>
      <c r="AA55" s="26">
        <f>AA54*Допущения!$D$16/12</f>
        <v>21188538.833512064</v>
      </c>
      <c r="AB55" s="26">
        <f>AB54*Допущения!$D$16/12</f>
        <v>22783709.296095576</v>
      </c>
      <c r="AC55" s="26">
        <f>AC54*Допущения!$D$16/12</f>
        <v>24382121.221278399</v>
      </c>
      <c r="AD55" s="26">
        <f>AD54*Допущения!$D$16/12</f>
        <v>25984177.230012219</v>
      </c>
      <c r="AE55" s="26">
        <f>AE54*Допущения!$D$16/12</f>
        <v>27590280.223897744</v>
      </c>
      <c r="AF55" s="26">
        <f>AF54*Допущения!$D$16/12</f>
        <v>29200833.487535641</v>
      </c>
      <c r="AG55" s="26">
        <f>AG54*Допущения!$D$16/12</f>
        <v>30816240.790810268</v>
      </c>
      <c r="AH55" s="26">
        <f>AH54*Допущения!$D$16/12</f>
        <v>32436906.491132274</v>
      </c>
      <c r="AI55" s="26">
        <f>AI54*Допущения!$D$16/12</f>
        <v>34063235.635666236</v>
      </c>
      <c r="AJ55" s="26">
        <f>AJ54*Допущения!$D$16/12</f>
        <v>35695634.063569538</v>
      </c>
      <c r="AK55" s="26">
        <f>AK54*Допущения!$D$16/12</f>
        <v>37334508.508268401</v>
      </c>
      <c r="AL55" s="26">
        <f>AL54*Допущения!$D$16/12</f>
        <v>38980266.699797265</v>
      </c>
    </row>
    <row r="56" spans="1:38" x14ac:dyDescent="0.3">
      <c r="A56" s="24" t="s">
        <v>104</v>
      </c>
      <c r="B56" s="2"/>
      <c r="C56" s="26">
        <f>C52*Допущения!$C$20/1000*Допущения!$C$21*Допущения!$C$22</f>
        <v>0</v>
      </c>
      <c r="D56" s="26">
        <f>D52*Допущения!$C$20/1000*Допущения!$C$21*Допущения!$C$22</f>
        <v>0</v>
      </c>
      <c r="E56" s="26">
        <f>E52*Допущения!$C$20/1000*Допущения!$C$21*Допущения!$C$22</f>
        <v>0</v>
      </c>
      <c r="F56" s="26">
        <f>F52*Допущения!$C$20/1000*Допущения!$C$21*Допущения!$C$22</f>
        <v>7200</v>
      </c>
      <c r="G56" s="26">
        <f>G52*Допущения!$C$20/1000*Допущения!$C$21*Допущения!$C$22</f>
        <v>7200</v>
      </c>
      <c r="H56" s="26">
        <f>H52*Допущения!$C$20/1000*Допущения!$C$21*Допущения!$C$22</f>
        <v>7200</v>
      </c>
      <c r="I56" s="26">
        <f>I52*Допущения!$C$20/1000*Допущения!$C$21*Допущения!$C$22</f>
        <v>33366.473990479724</v>
      </c>
      <c r="J56" s="26">
        <f>J52*Допущения!$C$20/1000*Допущения!$C$21*Допущения!$C$22</f>
        <v>67754.594079434057</v>
      </c>
      <c r="K56" s="26">
        <f>K52*Допущения!$C$20/1000*Допущения!$C$21*Допущения!$C$22</f>
        <v>103187.82155807162</v>
      </c>
      <c r="L56" s="26">
        <f>L52*Допущения!$C$20/1000*Допущения!$C$21*Допущения!$C$22</f>
        <v>139690.09662419528</v>
      </c>
      <c r="M56" s="26">
        <f>M52*Допущения!$C$20/1000*Допущения!$C$21*Допущения!$C$22</f>
        <v>177285.84754695999</v>
      </c>
      <c r="N56" s="26">
        <f>N52*Допущения!$C$20/1000*Допущения!$C$21*Допущения!$C$22</f>
        <v>216000</v>
      </c>
      <c r="O56" s="26">
        <f>O52*Допущения!$C$20/1000*Допущения!$C$21*Допущения!$C$22</f>
        <v>255857.98656593231</v>
      </c>
      <c r="P56" s="26">
        <f>P52*Допущения!$C$20/1000*Допущения!$C$21*Допущения!$C$22</f>
        <v>296885.75641529605</v>
      </c>
      <c r="Q56" s="26">
        <f>Q52*Допущения!$C$20/1000*Допущения!$C$21*Допущения!$C$22</f>
        <v>339109.78516304208</v>
      </c>
      <c r="R56" s="26">
        <f>R52*Допущения!$C$20/1000*Допущения!$C$21*Допущения!$C$22</f>
        <v>382557.08490574005</v>
      </c>
      <c r="S56" s="26">
        <f>S52*Допущения!$C$20/1000*Допущения!$C$21*Допущения!$C$22</f>
        <v>427255.2144427243</v>
      </c>
      <c r="T56" s="26">
        <f>T52*Допущения!$C$20/1000*Допущения!$C$21*Допущения!$C$22</f>
        <v>473232.28968446353</v>
      </c>
      <c r="U56" s="26">
        <f>U52*Допущения!$C$20/1000*Допущения!$C$21*Допущения!$C$22</f>
        <v>480477.2254629081</v>
      </c>
      <c r="V56" s="26">
        <f>V52*Допущения!$C$20/1000*Допущения!$C$21*Допущения!$C$22</f>
        <v>487833.07737192517</v>
      </c>
      <c r="W56" s="26">
        <f>W52*Допущения!$C$20/1000*Допущения!$C$21*Допущения!$C$22</f>
        <v>495301.5434787437</v>
      </c>
      <c r="X56" s="26">
        <f>X52*Допущения!$C$20/1000*Допущения!$C$21*Допущения!$C$22</f>
        <v>502884.34784710291</v>
      </c>
      <c r="Y56" s="26">
        <f>Y52*Допущения!$C$20/1000*Допущения!$C$21*Допущения!$C$22</f>
        <v>510583.24093524471</v>
      </c>
      <c r="Z56" s="26">
        <f>Z52*Допущения!$C$20/1000*Допущения!$C$21*Допущения!$C$22</f>
        <v>518400</v>
      </c>
      <c r="AA56" s="26">
        <f>AA52*Допущения!$C$20/1000*Допущения!$C$21*Допущения!$C$22</f>
        <v>526336.42950706067</v>
      </c>
      <c r="AB56" s="26">
        <f>AB52*Допущения!$C$20/1000*Допущения!$C$21*Допущения!$C$22</f>
        <v>534394.36154753284</v>
      </c>
      <c r="AC56" s="26">
        <f>AC52*Допущения!$C$20/1000*Допущения!$C$21*Допущения!$C$22</f>
        <v>542575.65626086749</v>
      </c>
      <c r="AD56" s="26">
        <f>AD52*Допущения!$C$20/1000*Допущения!$C$21*Допущения!$C$22</f>
        <v>550882.20226426562</v>
      </c>
      <c r="AE56" s="26">
        <f>AE52*Допущения!$C$20/1000*Допущения!$C$21*Допущения!$C$22</f>
        <v>559315.91708865704</v>
      </c>
      <c r="AF56" s="26">
        <f>AF52*Допущения!$C$20/1000*Допущения!$C$21*Допущения!$C$22</f>
        <v>567878.74762135616</v>
      </c>
      <c r="AG56" s="26">
        <f>AG52*Допущения!$C$20/1000*Допущения!$C$21*Допущения!$C$22</f>
        <v>576572.67055548972</v>
      </c>
      <c r="AH56" s="26">
        <f>AH52*Допущения!$C$20/1000*Допущения!$C$21*Допущения!$C$22</f>
        <v>585399.69284631021</v>
      </c>
      <c r="AI56" s="26">
        <f>AI52*Допущения!$C$20/1000*Допущения!$C$21*Допущения!$C$22</f>
        <v>594361.85217449255</v>
      </c>
      <c r="AJ56" s="26">
        <f>AJ52*Допущения!$C$20/1000*Допущения!$C$21*Допущения!$C$22</f>
        <v>603461.21741652349</v>
      </c>
      <c r="AK56" s="26">
        <f>AK52*Допущения!$C$20/1000*Допущения!$C$21*Допущения!$C$22</f>
        <v>612699.88912229356</v>
      </c>
      <c r="AL56" s="26">
        <f>AL52*Допущения!$C$20/1000*Допущения!$C$21*Допущения!$C$22</f>
        <v>622080</v>
      </c>
    </row>
    <row r="57" spans="1:38" x14ac:dyDescent="0.3">
      <c r="A57" s="24" t="s">
        <v>105</v>
      </c>
      <c r="B57" s="2"/>
      <c r="C57" s="26">
        <f>C52*Допущения!$D$17*Допущения!$C$23/12</f>
        <v>0</v>
      </c>
      <c r="D57" s="26">
        <f>D52*Допущения!$D$17*Допущения!$C$23/12</f>
        <v>0</v>
      </c>
      <c r="E57" s="26">
        <f>E52*Допущения!$D$17*Допущения!$C$23/12</f>
        <v>0</v>
      </c>
      <c r="F57" s="26">
        <f>F52*Допущения!$D$17*Допущения!$C$23/12</f>
        <v>30000</v>
      </c>
      <c r="G57" s="26">
        <f>G52*Допущения!$D$17*Допущения!$C$23/12</f>
        <v>30000</v>
      </c>
      <c r="H57" s="26">
        <f>H52*Допущения!$D$17*Допущения!$C$23/12</f>
        <v>30000</v>
      </c>
      <c r="I57" s="26">
        <f>I52*Допущения!$D$17*Допущения!$C$23/12</f>
        <v>139026.97496033218</v>
      </c>
      <c r="J57" s="26">
        <f>J52*Допущения!$D$17*Допущения!$C$23/12</f>
        <v>282310.80866430851</v>
      </c>
      <c r="K57" s="26">
        <f>K52*Допущения!$D$17*Допущения!$C$23/12</f>
        <v>429949.25649196509</v>
      </c>
      <c r="L57" s="26">
        <f>L52*Допущения!$D$17*Допущения!$C$23/12</f>
        <v>582042.06926748028</v>
      </c>
      <c r="M57" s="26">
        <f>M52*Допущения!$D$17*Допущения!$C$23/12</f>
        <v>738691.03144566657</v>
      </c>
      <c r="N57" s="26">
        <f>N52*Допущения!$D$17*Допущения!$C$23/12</f>
        <v>900000</v>
      </c>
      <c r="O57" s="26">
        <f>O52*Допущения!$D$17*Допущения!$C$23/12</f>
        <v>1066074.9440247177</v>
      </c>
      <c r="P57" s="26">
        <f>P52*Допущения!$D$17*Допущения!$C$23/12</f>
        <v>1237023.9850637333</v>
      </c>
      <c r="Q57" s="26">
        <f>Q52*Допущения!$D$17*Допущения!$C$23/12</f>
        <v>1412957.4381793423</v>
      </c>
      <c r="R57" s="26">
        <f>R52*Допущения!$D$17*Допущения!$C$23/12</f>
        <v>1593987.8537739168</v>
      </c>
      <c r="S57" s="26">
        <f>S52*Допущения!$D$17*Допущения!$C$23/12</f>
        <v>1780230.0601780179</v>
      </c>
      <c r="T57" s="26">
        <f>T52*Допущения!$D$17*Допущения!$C$23/12</f>
        <v>1971801.207018598</v>
      </c>
      <c r="U57" s="26">
        <f>U52*Допущения!$D$17*Допущения!$C$23/12</f>
        <v>2001988.4394287837</v>
      </c>
      <c r="V57" s="26">
        <f>V52*Допущения!$D$17*Допущения!$C$23/12</f>
        <v>2032637.8223830217</v>
      </c>
      <c r="W57" s="26">
        <f>W52*Допущения!$D$17*Допущения!$C$23/12</f>
        <v>2063756.4311614325</v>
      </c>
      <c r="X57" s="26">
        <f>X52*Допущения!$D$17*Допущения!$C$23/12</f>
        <v>2095351.4493629287</v>
      </c>
      <c r="Y57" s="26">
        <f>Y52*Допущения!$D$17*Допущения!$C$23/12</f>
        <v>2127430.1705635199</v>
      </c>
      <c r="Z57" s="26">
        <f>Z52*Допущения!$D$17*Допущения!$C$23/12</f>
        <v>2160000</v>
      </c>
      <c r="AA57" s="26">
        <f>AA52*Допущения!$D$17*Допущения!$C$23/12</f>
        <v>2193068.4562794189</v>
      </c>
      <c r="AB57" s="26">
        <f>AB52*Допущения!$D$17*Допущения!$C$23/12</f>
        <v>2226643.1731147203</v>
      </c>
      <c r="AC57" s="26">
        <f>AC52*Допущения!$D$17*Допущения!$C$23/12</f>
        <v>2260731.9010869479</v>
      </c>
      <c r="AD57" s="26">
        <f>AD52*Допущения!$D$17*Допущения!$C$23/12</f>
        <v>2295342.5094344402</v>
      </c>
      <c r="AE57" s="26">
        <f>AE52*Допущения!$D$17*Допущения!$C$23/12</f>
        <v>2330482.9878694047</v>
      </c>
      <c r="AF57" s="26">
        <f>AF52*Допущения!$D$17*Допущения!$C$23/12</f>
        <v>2366161.4484223174</v>
      </c>
      <c r="AG57" s="26">
        <f>AG52*Допущения!$D$17*Допущения!$C$23/12</f>
        <v>2402386.1273145401</v>
      </c>
      <c r="AH57" s="26">
        <f>AH52*Допущения!$D$17*Допущения!$C$23/12</f>
        <v>2439165.3868596251</v>
      </c>
      <c r="AI57" s="26">
        <f>AI52*Допущения!$D$17*Допущения!$C$23/12</f>
        <v>2476507.7173937182</v>
      </c>
      <c r="AJ57" s="26">
        <f>AJ52*Допущения!$D$17*Допущения!$C$23/12</f>
        <v>2514421.7392355143</v>
      </c>
      <c r="AK57" s="26">
        <f>AK52*Допущения!$D$17*Допущения!$C$23/12</f>
        <v>2552916.204676223</v>
      </c>
      <c r="AL57" s="26">
        <f>AL52*Допущения!$D$17*Допущения!$C$23/12</f>
        <v>2592000</v>
      </c>
    </row>
    <row r="58" spans="1:38" x14ac:dyDescent="0.3">
      <c r="A58" s="28" t="s">
        <v>106</v>
      </c>
      <c r="B58" s="2"/>
      <c r="C58" s="26">
        <f t="shared" ref="C58:AL58" si="10">SUM(C55:C57)</f>
        <v>0</v>
      </c>
      <c r="D58" s="26">
        <f t="shared" si="10"/>
        <v>0</v>
      </c>
      <c r="E58" s="26">
        <f t="shared" si="10"/>
        <v>0</v>
      </c>
      <c r="F58" s="26">
        <f t="shared" si="10"/>
        <v>63450</v>
      </c>
      <c r="G58" s="26">
        <f t="shared" si="10"/>
        <v>89262.5</v>
      </c>
      <c r="H58" s="26">
        <f t="shared" si="10"/>
        <v>114644.79166666667</v>
      </c>
      <c r="I58" s="26">
        <f t="shared" si="10"/>
        <v>370196.09717999143</v>
      </c>
      <c r="J58" s="26">
        <f t="shared" si="10"/>
        <v>791593.29775037244</v>
      </c>
      <c r="K58" s="26">
        <f t="shared" si="10"/>
        <v>1343511.7742370253</v>
      </c>
      <c r="L58" s="26">
        <f t="shared" si="10"/>
        <v>2027887.4277512594</v>
      </c>
      <c r="M58" s="26">
        <f t="shared" si="10"/>
        <v>2846717.5390028423</v>
      </c>
      <c r="N58" s="26">
        <f t="shared" si="10"/>
        <v>3802061.649010045</v>
      </c>
      <c r="O58" s="26">
        <f t="shared" si="10"/>
        <v>4896042.4614721555</v>
      </c>
      <c r="P58" s="26">
        <f t="shared" si="10"/>
        <v>6130846.7671099445</v>
      </c>
      <c r="Q58" s="26">
        <f t="shared" si="10"/>
        <v>7508726.3902863739</v>
      </c>
      <c r="R58" s="26">
        <f t="shared" si="10"/>
        <v>9031999.1582267564</v>
      </c>
      <c r="S58" s="26">
        <f t="shared" si="10"/>
        <v>10703049.893164488</v>
      </c>
      <c r="T58" s="26">
        <f t="shared" si="10"/>
        <v>12524331.427745685</v>
      </c>
      <c r="U58" s="26">
        <f t="shared" si="10"/>
        <v>14145515.181583792</v>
      </c>
      <c r="V58" s="26">
        <f t="shared" si="10"/>
        <v>15767694.352420654</v>
      </c>
      <c r="W58" s="26">
        <f t="shared" si="10"/>
        <v>17391281.247027706</v>
      </c>
      <c r="X58" s="26">
        <f t="shared" si="10"/>
        <v>19016687.866583664</v>
      </c>
      <c r="Y58" s="26">
        <f t="shared" si="10"/>
        <v>20644326.012292579</v>
      </c>
      <c r="Z58" s="26">
        <f t="shared" si="10"/>
        <v>22274607.390780583</v>
      </c>
      <c r="AA58" s="26">
        <f t="shared" si="10"/>
        <v>23907943.719298545</v>
      </c>
      <c r="AB58" s="26">
        <f t="shared" si="10"/>
        <v>25544746.83075783</v>
      </c>
      <c r="AC58" s="26">
        <f t="shared" si="10"/>
        <v>27185428.778626215</v>
      </c>
      <c r="AD58" s="26">
        <f t="shared" si="10"/>
        <v>28830401.941710923</v>
      </c>
      <c r="AE58" s="26">
        <f t="shared" si="10"/>
        <v>30480079.128855806</v>
      </c>
      <c r="AF58" s="26">
        <f t="shared" si="10"/>
        <v>32134873.683579315</v>
      </c>
      <c r="AG58" s="26">
        <f t="shared" si="10"/>
        <v>33795199.588680297</v>
      </c>
      <c r="AH58" s="26">
        <f t="shared" si="10"/>
        <v>35461471.570838206</v>
      </c>
      <c r="AI58" s="26">
        <f t="shared" si="10"/>
        <v>37134105.205234446</v>
      </c>
      <c r="AJ58" s="26">
        <f t="shared" si="10"/>
        <v>38813517.020221576</v>
      </c>
      <c r="AK58" s="26">
        <f t="shared" si="10"/>
        <v>40500124.602066919</v>
      </c>
      <c r="AL58" s="26">
        <f t="shared" si="10"/>
        <v>42194346.699797265</v>
      </c>
    </row>
    <row r="59" spans="1:38" x14ac:dyDescent="0.3">
      <c r="A59" s="24" t="s">
        <v>107</v>
      </c>
      <c r="B59" s="2"/>
      <c r="C59" s="26">
        <f>MAX(Допущения!$C$35,ROUNDUP(C52/Допущения!$C$34,0)+1)</f>
        <v>2</v>
      </c>
      <c r="D59" s="26">
        <f>MAX(Допущения!$C$35,ROUNDUP(D52/Допущения!$C$34,0)+1)</f>
        <v>2</v>
      </c>
      <c r="E59" s="26">
        <f>MAX(Допущения!$C$35,ROUNDUP(E52/Допущения!$C$34,0)+1)</f>
        <v>2</v>
      </c>
      <c r="F59" s="26">
        <f>MAX(Допущения!$C$35,ROUNDUP(F52/Допущения!$C$34,0)+1)</f>
        <v>2</v>
      </c>
      <c r="G59" s="26">
        <f>MAX(Допущения!$C$35,ROUNDUP(G52/Допущения!$C$34,0)+1)</f>
        <v>2</v>
      </c>
      <c r="H59" s="26">
        <f>MAX(Допущения!$C$35,ROUNDUP(H52/Допущения!$C$34,0)+1)</f>
        <v>2</v>
      </c>
      <c r="I59" s="26">
        <f>MAX(Допущения!$C$35,ROUNDUP(I52/Допущения!$C$34,0)+1)</f>
        <v>2</v>
      </c>
      <c r="J59" s="26">
        <f>MAX(Допущения!$C$35,ROUNDUP(J52/Допущения!$C$34,0)+1)</f>
        <v>2</v>
      </c>
      <c r="K59" s="26">
        <f>MAX(Допущения!$C$35,ROUNDUP(K52/Допущения!$C$34,0)+1)</f>
        <v>2</v>
      </c>
      <c r="L59" s="26">
        <f>MAX(Допущения!$C$35,ROUNDUP(L52/Допущения!$C$34,0)+1)</f>
        <v>2</v>
      </c>
      <c r="M59" s="26">
        <f>MAX(Допущения!$C$35,ROUNDUP(M52/Допущения!$C$34,0)+1)</f>
        <v>2</v>
      </c>
      <c r="N59" s="26">
        <f>MAX(Допущения!$C$35,ROUNDUP(N52/Допущения!$C$34,0)+1)</f>
        <v>3</v>
      </c>
      <c r="O59" s="26">
        <f>MAX(Допущения!$C$35,ROUNDUP(O52/Допущения!$C$34,0)+1)</f>
        <v>3</v>
      </c>
      <c r="P59" s="26">
        <f>MAX(Допущения!$C$35,ROUNDUP(P52/Допущения!$C$34,0)+1)</f>
        <v>3</v>
      </c>
      <c r="Q59" s="26">
        <f>MAX(Допущения!$C$35,ROUNDUP(Q52/Допущения!$C$34,0)+1)</f>
        <v>3</v>
      </c>
      <c r="R59" s="26">
        <f>MAX(Допущения!$C$35,ROUNDUP(R52/Допущения!$C$34,0)+1)</f>
        <v>4</v>
      </c>
      <c r="S59" s="26">
        <f>MAX(Допущения!$C$35,ROUNDUP(S52/Допущения!$C$34,0)+1)</f>
        <v>4</v>
      </c>
      <c r="T59" s="26">
        <f>MAX(Допущения!$C$35,ROUNDUP(T52/Допущения!$C$34,0)+1)</f>
        <v>4</v>
      </c>
      <c r="U59" s="26">
        <f>MAX(Допущения!$C$35,ROUNDUP(U52/Допущения!$C$34,0)+1)</f>
        <v>4</v>
      </c>
      <c r="V59" s="26">
        <f>MAX(Допущения!$C$35,ROUNDUP(V52/Допущения!$C$34,0)+1)</f>
        <v>4</v>
      </c>
      <c r="W59" s="26">
        <f>MAX(Допущения!$C$35,ROUNDUP(W52/Допущения!$C$34,0)+1)</f>
        <v>4</v>
      </c>
      <c r="X59" s="26">
        <f>MAX(Допущения!$C$35,ROUNDUP(X52/Допущения!$C$34,0)+1)</f>
        <v>4</v>
      </c>
      <c r="Y59" s="26">
        <f>MAX(Допущения!$C$35,ROUNDUP(Y52/Допущения!$C$34,0)+1)</f>
        <v>4</v>
      </c>
      <c r="Z59" s="26">
        <f>MAX(Допущения!$C$35,ROUNDUP(Z52/Допущения!$C$34,0)+1)</f>
        <v>4</v>
      </c>
      <c r="AA59" s="26">
        <f>MAX(Допущения!$C$35,ROUNDUP(AA52/Допущения!$C$34,0)+1)</f>
        <v>4</v>
      </c>
      <c r="AB59" s="26">
        <f>MAX(Допущения!$C$35,ROUNDUP(AB52/Допущения!$C$34,0)+1)</f>
        <v>4</v>
      </c>
      <c r="AC59" s="26">
        <f>MAX(Допущения!$C$35,ROUNDUP(AC52/Допущения!$C$34,0)+1)</f>
        <v>5</v>
      </c>
      <c r="AD59" s="26">
        <f>MAX(Допущения!$C$35,ROUNDUP(AD52/Допущения!$C$34,0)+1)</f>
        <v>5</v>
      </c>
      <c r="AE59" s="26">
        <f>MAX(Допущения!$C$35,ROUNDUP(AE52/Допущения!$C$34,0)+1)</f>
        <v>5</v>
      </c>
      <c r="AF59" s="26">
        <f>MAX(Допущения!$C$35,ROUNDUP(AF52/Допущения!$C$34,0)+1)</f>
        <v>5</v>
      </c>
      <c r="AG59" s="26">
        <f>MAX(Допущения!$C$35,ROUNDUP(AG52/Допущения!$C$34,0)+1)</f>
        <v>5</v>
      </c>
      <c r="AH59" s="26">
        <f>MAX(Допущения!$C$35,ROUNDUP(AH52/Допущения!$C$34,0)+1)</f>
        <v>5</v>
      </c>
      <c r="AI59" s="26">
        <f>MAX(Допущения!$C$35,ROUNDUP(AI52/Допущения!$C$34,0)+1)</f>
        <v>5</v>
      </c>
      <c r="AJ59" s="26">
        <f>MAX(Допущения!$C$35,ROUNDUP(AJ52/Допущения!$C$34,0)+1)</f>
        <v>5</v>
      </c>
      <c r="AK59" s="26">
        <f>MAX(Допущения!$C$35,ROUNDUP(AK52/Допущения!$C$34,0)+1)</f>
        <v>5</v>
      </c>
      <c r="AL59" s="26">
        <f>MAX(Допущения!$C$35,ROUNDUP(AL52/Допущения!$C$34,0)+1)</f>
        <v>5</v>
      </c>
    </row>
    <row r="60" spans="1:38" x14ac:dyDescent="0.3">
      <c r="A60" s="24" t="s">
        <v>108</v>
      </c>
      <c r="B60" s="2"/>
      <c r="C60" s="26">
        <f>(C59-0)*Допущения!$C$32</f>
        <v>8000000</v>
      </c>
      <c r="D60" s="26">
        <f>(D59-C59)*Допущения!$C$32</f>
        <v>0</v>
      </c>
      <c r="E60" s="26">
        <f>(E59-D59)*Допущения!$C$32</f>
        <v>0</v>
      </c>
      <c r="F60" s="26">
        <f>(F59-E59)*Допущения!$C$32</f>
        <v>0</v>
      </c>
      <c r="G60" s="26">
        <f>(G59-F59)*Допущения!$C$32</f>
        <v>0</v>
      </c>
      <c r="H60" s="26">
        <f>(H59-G59)*Допущения!$C$32</f>
        <v>0</v>
      </c>
      <c r="I60" s="26">
        <f>(I59-H59)*Допущения!$C$32</f>
        <v>0</v>
      </c>
      <c r="J60" s="26">
        <f>(J59-I59)*Допущения!$C$32</f>
        <v>0</v>
      </c>
      <c r="K60" s="26">
        <f>(K59-J59)*Допущения!$C$32</f>
        <v>0</v>
      </c>
      <c r="L60" s="26">
        <f>(L59-K59)*Допущения!$C$32</f>
        <v>0</v>
      </c>
      <c r="M60" s="26">
        <f>(M59-L59)*Допущения!$C$32</f>
        <v>0</v>
      </c>
      <c r="N60" s="26">
        <f>(N59-M59)*Допущения!$C$32</f>
        <v>4000000</v>
      </c>
      <c r="O60" s="26">
        <f>(O59-N59)*Допущения!$C$32</f>
        <v>0</v>
      </c>
      <c r="P60" s="26">
        <f>(P59-O59)*Допущения!$C$32</f>
        <v>0</v>
      </c>
      <c r="Q60" s="26">
        <f>(Q59-P59)*Допущения!$C$32</f>
        <v>0</v>
      </c>
      <c r="R60" s="26">
        <f>(R59-Q59)*Допущения!$C$32</f>
        <v>4000000</v>
      </c>
      <c r="S60" s="26">
        <f>(S59-R59)*Допущения!$C$32</f>
        <v>0</v>
      </c>
      <c r="T60" s="26">
        <f>(T59-S59)*Допущения!$C$32</f>
        <v>0</v>
      </c>
      <c r="U60" s="26">
        <f>(U59-T59)*Допущения!$C$32</f>
        <v>0</v>
      </c>
      <c r="V60" s="26">
        <f>(V59-U59)*Допущения!$C$32</f>
        <v>0</v>
      </c>
      <c r="W60" s="26">
        <f>(W59-V59)*Допущения!$C$32</f>
        <v>0</v>
      </c>
      <c r="X60" s="26">
        <f>(X59-W59)*Допущения!$C$32</f>
        <v>0</v>
      </c>
      <c r="Y60" s="26">
        <f>(Y59-X59)*Допущения!$C$32</f>
        <v>0</v>
      </c>
      <c r="Z60" s="26">
        <f>(Z59-Y59)*Допущения!$C$32</f>
        <v>0</v>
      </c>
      <c r="AA60" s="26">
        <f>(AA59-Z59)*Допущения!$C$32</f>
        <v>0</v>
      </c>
      <c r="AB60" s="26">
        <f>(AB59-AA59)*Допущения!$C$32</f>
        <v>0</v>
      </c>
      <c r="AC60" s="26">
        <f>(AC59-AB59)*Допущения!$C$32</f>
        <v>4000000</v>
      </c>
      <c r="AD60" s="26">
        <f>(AD59-AC59)*Допущения!$C$32</f>
        <v>0</v>
      </c>
      <c r="AE60" s="26">
        <f>(AE59-AD59)*Допущения!$C$32</f>
        <v>0</v>
      </c>
      <c r="AF60" s="26">
        <f>(AF59-AE59)*Допущения!$C$32</f>
        <v>0</v>
      </c>
      <c r="AG60" s="26">
        <f>(AG59-AF59)*Допущения!$C$32</f>
        <v>0</v>
      </c>
      <c r="AH60" s="26">
        <f>(AH59-AG59)*Допущения!$C$32</f>
        <v>0</v>
      </c>
      <c r="AI60" s="26">
        <f>(AI59-AH59)*Допущения!$C$32</f>
        <v>0</v>
      </c>
      <c r="AJ60" s="26">
        <f>(AJ59-AI59)*Допущения!$C$32</f>
        <v>0</v>
      </c>
      <c r="AK60" s="26">
        <f>(AK59-AJ59)*Допущения!$C$32</f>
        <v>0</v>
      </c>
      <c r="AL60" s="26">
        <f>(AL59-AK59)*Допущения!$C$32</f>
        <v>0</v>
      </c>
    </row>
    <row r="61" spans="1:38" x14ac:dyDescent="0.3">
      <c r="A61" s="24" t="s">
        <v>109</v>
      </c>
      <c r="B61" s="2"/>
      <c r="C61" s="26">
        <f>IF(C$50&lt;Допущения!$C$10,Допущения!$C$26,Допущения!$C$27)*Допущения!$C$25</f>
        <v>2400000</v>
      </c>
      <c r="D61" s="26">
        <f>IF(D$50&lt;Допущения!$C$10,Допущения!$C$26,Допущения!$C$27)*Допущения!$C$25</f>
        <v>2400000</v>
      </c>
      <c r="E61" s="26">
        <f>IF(E$50&lt;Допущения!$C$10,Допущения!$C$26,Допущения!$C$27)*Допущения!$C$25</f>
        <v>2400000</v>
      </c>
      <c r="F61" s="26">
        <f>IF(F$50&lt;Допущения!$C$10,Допущения!$C$26,Допущения!$C$27)*Допущения!$C$25</f>
        <v>2400000</v>
      </c>
      <c r="G61" s="26">
        <f>IF(G$50&lt;Допущения!$C$10,Допущения!$C$26,Допущения!$C$27)*Допущения!$C$25</f>
        <v>2400000</v>
      </c>
      <c r="H61" s="26">
        <f>IF(H$50&lt;Допущения!$C$10,Допущения!$C$26,Допущения!$C$27)*Допущения!$C$25</f>
        <v>2400000</v>
      </c>
      <c r="I61" s="26">
        <f>IF(I$50&lt;Допущения!$C$10,Допущения!$C$26,Допущения!$C$27)*Допущения!$C$25</f>
        <v>1200000</v>
      </c>
      <c r="J61" s="26">
        <f>IF(J$50&lt;Допущения!$C$10,Допущения!$C$26,Допущения!$C$27)*Допущения!$C$25</f>
        <v>1200000</v>
      </c>
      <c r="K61" s="26">
        <f>IF(K$50&lt;Допущения!$C$10,Допущения!$C$26,Допущения!$C$27)*Допущения!$C$25</f>
        <v>1200000</v>
      </c>
      <c r="L61" s="26">
        <f>IF(L$50&lt;Допущения!$C$10,Допущения!$C$26,Допущения!$C$27)*Допущения!$C$25</f>
        <v>1200000</v>
      </c>
      <c r="M61" s="26">
        <f>IF(M$50&lt;Допущения!$C$10,Допущения!$C$26,Допущения!$C$27)*Допущения!$C$25</f>
        <v>1200000</v>
      </c>
      <c r="N61" s="26">
        <f>IF(N$50&lt;Допущения!$C$10,Допущения!$C$26,Допущения!$C$27)*Допущения!$C$25</f>
        <v>1200000</v>
      </c>
      <c r="O61" s="26">
        <f>IF(O$50&lt;Допущения!$C$10,Допущения!$C$26,Допущения!$C$27)*Допущения!$C$25</f>
        <v>1200000</v>
      </c>
      <c r="P61" s="26">
        <f>IF(P$50&lt;Допущения!$C$10,Допущения!$C$26,Допущения!$C$27)*Допущения!$C$25</f>
        <v>1200000</v>
      </c>
      <c r="Q61" s="26">
        <f>IF(Q$50&lt;Допущения!$C$10,Допущения!$C$26,Допущения!$C$27)*Допущения!$C$25</f>
        <v>1200000</v>
      </c>
      <c r="R61" s="26">
        <f>IF(R$50&lt;Допущения!$C$10,Допущения!$C$26,Допущения!$C$27)*Допущения!$C$25</f>
        <v>1200000</v>
      </c>
      <c r="S61" s="26">
        <f>IF(S$50&lt;Допущения!$C$10,Допущения!$C$26,Допущения!$C$27)*Допущения!$C$25</f>
        <v>1200000</v>
      </c>
      <c r="T61" s="26">
        <f>IF(T$50&lt;Допущения!$C$10,Допущения!$C$26,Допущения!$C$27)*Допущения!$C$25</f>
        <v>1200000</v>
      </c>
      <c r="U61" s="26">
        <f>IF(U$50&lt;Допущения!$C$10,Допущения!$C$26,Допущения!$C$27)*Допущения!$C$25</f>
        <v>1200000</v>
      </c>
      <c r="V61" s="26">
        <f>IF(V$50&lt;Допущения!$C$10,Допущения!$C$26,Допущения!$C$27)*Допущения!$C$25</f>
        <v>1200000</v>
      </c>
      <c r="W61" s="26">
        <f>IF(W$50&lt;Допущения!$C$10,Допущения!$C$26,Допущения!$C$27)*Допущения!$C$25</f>
        <v>1200000</v>
      </c>
      <c r="X61" s="26">
        <f>IF(X$50&lt;Допущения!$C$10,Допущения!$C$26,Допущения!$C$27)*Допущения!$C$25</f>
        <v>1200000</v>
      </c>
      <c r="Y61" s="26">
        <f>IF(Y$50&lt;Допущения!$C$10,Допущения!$C$26,Допущения!$C$27)*Допущения!$C$25</f>
        <v>1200000</v>
      </c>
      <c r="Z61" s="26">
        <f>IF(Z$50&lt;Допущения!$C$10,Допущения!$C$26,Допущения!$C$27)*Допущения!$C$25</f>
        <v>1200000</v>
      </c>
      <c r="AA61" s="26">
        <f>IF(AA$50&lt;Допущения!$C$10,Допущения!$C$26,Допущения!$C$27)*Допущения!$C$25</f>
        <v>1200000</v>
      </c>
      <c r="AB61" s="26">
        <f>IF(AB$50&lt;Допущения!$C$10,Допущения!$C$26,Допущения!$C$27)*Допущения!$C$25</f>
        <v>1200000</v>
      </c>
      <c r="AC61" s="26">
        <f>IF(AC$50&lt;Допущения!$C$10,Допущения!$C$26,Допущения!$C$27)*Допущения!$C$25</f>
        <v>1200000</v>
      </c>
      <c r="AD61" s="26">
        <f>IF(AD$50&lt;Допущения!$C$10,Допущения!$C$26,Допущения!$C$27)*Допущения!$C$25</f>
        <v>1200000</v>
      </c>
      <c r="AE61" s="26">
        <f>IF(AE$50&lt;Допущения!$C$10,Допущения!$C$26,Допущения!$C$27)*Допущения!$C$25</f>
        <v>1200000</v>
      </c>
      <c r="AF61" s="26">
        <f>IF(AF$50&lt;Допущения!$C$10,Допущения!$C$26,Допущения!$C$27)*Допущения!$C$25</f>
        <v>1200000</v>
      </c>
      <c r="AG61" s="26">
        <f>IF(AG$50&lt;Допущения!$C$10,Допущения!$C$26,Допущения!$C$27)*Допущения!$C$25</f>
        <v>1200000</v>
      </c>
      <c r="AH61" s="26">
        <f>IF(AH$50&lt;Допущения!$C$10,Допущения!$C$26,Допущения!$C$27)*Допущения!$C$25</f>
        <v>1200000</v>
      </c>
      <c r="AI61" s="26">
        <f>IF(AI$50&lt;Допущения!$C$10,Допущения!$C$26,Допущения!$C$27)*Допущения!$C$25</f>
        <v>1200000</v>
      </c>
      <c r="AJ61" s="26">
        <f>IF(AJ$50&lt;Допущения!$C$10,Допущения!$C$26,Допущения!$C$27)*Допущения!$C$25</f>
        <v>1200000</v>
      </c>
      <c r="AK61" s="26">
        <f>IF(AK$50&lt;Допущения!$C$10,Допущения!$C$26,Допущения!$C$27)*Допущения!$C$25</f>
        <v>1200000</v>
      </c>
      <c r="AL61" s="26">
        <f>IF(AL$50&lt;Допущения!$C$10,Допущения!$C$26,Допущения!$C$27)*Допущения!$C$25</f>
        <v>1200000</v>
      </c>
    </row>
    <row r="62" spans="1:38" x14ac:dyDescent="0.3">
      <c r="A62" s="24" t="s">
        <v>110</v>
      </c>
      <c r="B62" s="2"/>
      <c r="C62" s="26">
        <f>Допущения!$C$28*Допущения!$C$29</f>
        <v>150000</v>
      </c>
      <c r="D62" s="26">
        <f>Допущения!$C$28*Допущения!$C$29</f>
        <v>150000</v>
      </c>
      <c r="E62" s="26">
        <f>Допущения!$C$28*Допущения!$C$29</f>
        <v>150000</v>
      </c>
      <c r="F62" s="26">
        <f>Допущения!$C$28*Допущения!$C$29</f>
        <v>150000</v>
      </c>
      <c r="G62" s="26">
        <f>Допущения!$C$28*Допущения!$C$29</f>
        <v>150000</v>
      </c>
      <c r="H62" s="26">
        <f>Допущения!$C$28*Допущения!$C$29</f>
        <v>150000</v>
      </c>
      <c r="I62" s="26">
        <f>Допущения!$C$28*Допущения!$C$29</f>
        <v>150000</v>
      </c>
      <c r="J62" s="26">
        <f>Допущения!$C$28*Допущения!$C$29</f>
        <v>150000</v>
      </c>
      <c r="K62" s="26">
        <f>Допущения!$C$28*Допущения!$C$29</f>
        <v>150000</v>
      </c>
      <c r="L62" s="26">
        <f>Допущения!$C$28*Допущения!$C$29</f>
        <v>150000</v>
      </c>
      <c r="M62" s="26">
        <f>Допущения!$C$28*Допущения!$C$29</f>
        <v>150000</v>
      </c>
      <c r="N62" s="26">
        <f>Допущения!$C$28*Допущения!$C$29</f>
        <v>150000</v>
      </c>
      <c r="O62" s="26">
        <f>Допущения!$C$28*Допущения!$C$29</f>
        <v>150000</v>
      </c>
      <c r="P62" s="26">
        <f>Допущения!$C$28*Допущения!$C$29</f>
        <v>150000</v>
      </c>
      <c r="Q62" s="26">
        <f>Допущения!$C$28*Допущения!$C$29</f>
        <v>150000</v>
      </c>
      <c r="R62" s="26">
        <f>Допущения!$C$28*Допущения!$C$29</f>
        <v>150000</v>
      </c>
      <c r="S62" s="26">
        <f>Допущения!$C$28*Допущения!$C$29</f>
        <v>150000</v>
      </c>
      <c r="T62" s="26">
        <f>Допущения!$C$28*Допущения!$C$29</f>
        <v>150000</v>
      </c>
      <c r="U62" s="26">
        <f>Допущения!$C$28*Допущения!$C$29</f>
        <v>150000</v>
      </c>
      <c r="V62" s="26">
        <f>Допущения!$C$28*Допущения!$C$29</f>
        <v>150000</v>
      </c>
      <c r="W62" s="26">
        <f>Допущения!$C$28*Допущения!$C$29</f>
        <v>150000</v>
      </c>
      <c r="X62" s="26">
        <f>Допущения!$C$28*Допущения!$C$29</f>
        <v>150000</v>
      </c>
      <c r="Y62" s="26">
        <f>Допущения!$C$28*Допущения!$C$29</f>
        <v>150000</v>
      </c>
      <c r="Z62" s="26">
        <f>Допущения!$C$28*Допущения!$C$29</f>
        <v>150000</v>
      </c>
      <c r="AA62" s="26">
        <f>Допущения!$C$28*Допущения!$C$29</f>
        <v>150000</v>
      </c>
      <c r="AB62" s="26">
        <f>Допущения!$C$28*Допущения!$C$29</f>
        <v>150000</v>
      </c>
      <c r="AC62" s="26">
        <f>Допущения!$C$28*Допущения!$C$29</f>
        <v>150000</v>
      </c>
      <c r="AD62" s="26">
        <f>Допущения!$C$28*Допущения!$C$29</f>
        <v>150000</v>
      </c>
      <c r="AE62" s="26">
        <f>Допущения!$C$28*Допущения!$C$29</f>
        <v>150000</v>
      </c>
      <c r="AF62" s="26">
        <f>Допущения!$C$28*Допущения!$C$29</f>
        <v>150000</v>
      </c>
      <c r="AG62" s="26">
        <f>Допущения!$C$28*Допущения!$C$29</f>
        <v>150000</v>
      </c>
      <c r="AH62" s="26">
        <f>Допущения!$C$28*Допущения!$C$29</f>
        <v>150000</v>
      </c>
      <c r="AI62" s="26">
        <f>Допущения!$C$28*Допущения!$C$29</f>
        <v>150000</v>
      </c>
      <c r="AJ62" s="26">
        <f>Допущения!$C$28*Допущения!$C$29</f>
        <v>150000</v>
      </c>
      <c r="AK62" s="26">
        <f>Допущения!$C$28*Допущения!$C$29</f>
        <v>150000</v>
      </c>
      <c r="AL62" s="26">
        <f>Допущения!$C$28*Допущения!$C$29</f>
        <v>150000</v>
      </c>
    </row>
    <row r="63" spans="1:38" x14ac:dyDescent="0.3">
      <c r="A63" s="24" t="s">
        <v>111</v>
      </c>
      <c r="B63" s="2"/>
      <c r="C63" s="26">
        <f>Допущения!$C$30/12</f>
        <v>125000</v>
      </c>
      <c r="D63" s="26">
        <f>Допущения!$C$30/12</f>
        <v>125000</v>
      </c>
      <c r="E63" s="26">
        <f>Допущения!$C$30/12</f>
        <v>125000</v>
      </c>
      <c r="F63" s="26">
        <f>Допущения!$C$30/12</f>
        <v>125000</v>
      </c>
      <c r="G63" s="26">
        <f>Допущения!$C$30/12</f>
        <v>125000</v>
      </c>
      <c r="H63" s="26">
        <f>Допущения!$C$30/12</f>
        <v>125000</v>
      </c>
      <c r="I63" s="26">
        <f>Допущения!$C$30/12</f>
        <v>125000</v>
      </c>
      <c r="J63" s="26">
        <f>Допущения!$C$30/12</f>
        <v>125000</v>
      </c>
      <c r="K63" s="26">
        <f>Допущения!$C$30/12</f>
        <v>125000</v>
      </c>
      <c r="L63" s="26">
        <f>Допущения!$C$30/12</f>
        <v>125000</v>
      </c>
      <c r="M63" s="26">
        <f>Допущения!$C$30/12</f>
        <v>125000</v>
      </c>
      <c r="N63" s="26">
        <f>Допущения!$C$30/12</f>
        <v>125000</v>
      </c>
      <c r="O63" s="26">
        <f>Допущения!$C$30/12</f>
        <v>125000</v>
      </c>
      <c r="P63" s="26">
        <f>Допущения!$C$30/12</f>
        <v>125000</v>
      </c>
      <c r="Q63" s="26">
        <f>Допущения!$C$30/12</f>
        <v>125000</v>
      </c>
      <c r="R63" s="26">
        <f>Допущения!$C$30/12</f>
        <v>125000</v>
      </c>
      <c r="S63" s="26">
        <f>Допущения!$C$30/12</f>
        <v>125000</v>
      </c>
      <c r="T63" s="26">
        <f>Допущения!$C$30/12</f>
        <v>125000</v>
      </c>
      <c r="U63" s="26">
        <f>Допущения!$C$30/12</f>
        <v>125000</v>
      </c>
      <c r="V63" s="26">
        <f>Допущения!$C$30/12</f>
        <v>125000</v>
      </c>
      <c r="W63" s="26">
        <f>Допущения!$C$30/12</f>
        <v>125000</v>
      </c>
      <c r="X63" s="26">
        <f>Допущения!$C$30/12</f>
        <v>125000</v>
      </c>
      <c r="Y63" s="26">
        <f>Допущения!$C$30/12</f>
        <v>125000</v>
      </c>
      <c r="Z63" s="26">
        <f>Допущения!$C$30/12</f>
        <v>125000</v>
      </c>
      <c r="AA63" s="26">
        <f>Допущения!$C$30/12</f>
        <v>125000</v>
      </c>
      <c r="AB63" s="26">
        <f>Допущения!$C$30/12</f>
        <v>125000</v>
      </c>
      <c r="AC63" s="26">
        <f>Допущения!$C$30/12</f>
        <v>125000</v>
      </c>
      <c r="AD63" s="26">
        <f>Допущения!$C$30/12</f>
        <v>125000</v>
      </c>
      <c r="AE63" s="26">
        <f>Допущения!$C$30/12</f>
        <v>125000</v>
      </c>
      <c r="AF63" s="26">
        <f>Допущения!$C$30/12</f>
        <v>125000</v>
      </c>
      <c r="AG63" s="26">
        <f>Допущения!$C$30/12</f>
        <v>125000</v>
      </c>
      <c r="AH63" s="26">
        <f>Допущения!$C$30/12</f>
        <v>125000</v>
      </c>
      <c r="AI63" s="26">
        <f>Допущения!$C$30/12</f>
        <v>125000</v>
      </c>
      <c r="AJ63" s="26">
        <f>Допущения!$C$30/12</f>
        <v>125000</v>
      </c>
      <c r="AK63" s="26">
        <f>Допущения!$C$30/12</f>
        <v>125000</v>
      </c>
      <c r="AL63" s="26">
        <f>Допущения!$C$30/12</f>
        <v>125000</v>
      </c>
    </row>
    <row r="64" spans="1:38" x14ac:dyDescent="0.3">
      <c r="A64" s="24" t="s">
        <v>112</v>
      </c>
      <c r="B64" s="2"/>
      <c r="C64" s="26">
        <f>IF(C$50&gt;=Допущения!$C$10,Допущения!$C$31/12,0)</f>
        <v>0</v>
      </c>
      <c r="D64" s="26">
        <f>IF(D$50&gt;=Допущения!$C$10,Допущения!$C$31/12,0)</f>
        <v>0</v>
      </c>
      <c r="E64" s="26">
        <f>IF(E$50&gt;=Допущения!$C$10,Допущения!$C$31/12,0)</f>
        <v>0</v>
      </c>
      <c r="F64" s="26">
        <f>IF(F$50&gt;=Допущения!$C$10,Допущения!$C$31/12,0)</f>
        <v>0</v>
      </c>
      <c r="G64" s="26">
        <f>IF(G$50&gt;=Допущения!$C$10,Допущения!$C$31/12,0)</f>
        <v>0</v>
      </c>
      <c r="H64" s="26">
        <f>IF(H$50&gt;=Допущения!$C$10,Допущения!$C$31/12,0)</f>
        <v>0</v>
      </c>
      <c r="I64" s="26">
        <f>IF(I$50&gt;=Допущения!$C$10,Допущения!$C$31/12,0)</f>
        <v>83333.333333333328</v>
      </c>
      <c r="J64" s="26">
        <f>IF(J$50&gt;=Допущения!$C$10,Допущения!$C$31/12,0)</f>
        <v>83333.333333333328</v>
      </c>
      <c r="K64" s="26">
        <f>IF(K$50&gt;=Допущения!$C$10,Допущения!$C$31/12,0)</f>
        <v>83333.333333333328</v>
      </c>
      <c r="L64" s="26">
        <f>IF(L$50&gt;=Допущения!$C$10,Допущения!$C$31/12,0)</f>
        <v>83333.333333333328</v>
      </c>
      <c r="M64" s="26">
        <f>IF(M$50&gt;=Допущения!$C$10,Допущения!$C$31/12,0)</f>
        <v>83333.333333333328</v>
      </c>
      <c r="N64" s="26">
        <f>IF(N$50&gt;=Допущения!$C$10,Допущения!$C$31/12,0)</f>
        <v>83333.333333333328</v>
      </c>
      <c r="O64" s="26">
        <f>IF(O$50&gt;=Допущения!$C$10,Допущения!$C$31/12,0)</f>
        <v>83333.333333333328</v>
      </c>
      <c r="P64" s="26">
        <f>IF(P$50&gt;=Допущения!$C$10,Допущения!$C$31/12,0)</f>
        <v>83333.333333333328</v>
      </c>
      <c r="Q64" s="26">
        <f>IF(Q$50&gt;=Допущения!$C$10,Допущения!$C$31/12,0)</f>
        <v>83333.333333333328</v>
      </c>
      <c r="R64" s="26">
        <f>IF(R$50&gt;=Допущения!$C$10,Допущения!$C$31/12,0)</f>
        <v>83333.333333333328</v>
      </c>
      <c r="S64" s="26">
        <f>IF(S$50&gt;=Допущения!$C$10,Допущения!$C$31/12,0)</f>
        <v>83333.333333333328</v>
      </c>
      <c r="T64" s="26">
        <f>IF(T$50&gt;=Допущения!$C$10,Допущения!$C$31/12,0)</f>
        <v>83333.333333333328</v>
      </c>
      <c r="U64" s="26">
        <f>IF(U$50&gt;=Допущения!$C$10,Допущения!$C$31/12,0)</f>
        <v>83333.333333333328</v>
      </c>
      <c r="V64" s="26">
        <f>IF(V$50&gt;=Допущения!$C$10,Допущения!$C$31/12,0)</f>
        <v>83333.333333333328</v>
      </c>
      <c r="W64" s="26">
        <f>IF(W$50&gt;=Допущения!$C$10,Допущения!$C$31/12,0)</f>
        <v>83333.333333333328</v>
      </c>
      <c r="X64" s="26">
        <f>IF(X$50&gt;=Допущения!$C$10,Допущения!$C$31/12,0)</f>
        <v>83333.333333333328</v>
      </c>
      <c r="Y64" s="26">
        <f>IF(Y$50&gt;=Допущения!$C$10,Допущения!$C$31/12,0)</f>
        <v>83333.333333333328</v>
      </c>
      <c r="Z64" s="26">
        <f>IF(Z$50&gt;=Допущения!$C$10,Допущения!$C$31/12,0)</f>
        <v>83333.333333333328</v>
      </c>
      <c r="AA64" s="26">
        <f>IF(AA$50&gt;=Допущения!$C$10,Допущения!$C$31/12,0)</f>
        <v>83333.333333333328</v>
      </c>
      <c r="AB64" s="26">
        <f>IF(AB$50&gt;=Допущения!$C$10,Допущения!$C$31/12,0)</f>
        <v>83333.333333333328</v>
      </c>
      <c r="AC64" s="26">
        <f>IF(AC$50&gt;=Допущения!$C$10,Допущения!$C$31/12,0)</f>
        <v>83333.333333333328</v>
      </c>
      <c r="AD64" s="26">
        <f>IF(AD$50&gt;=Допущения!$C$10,Допущения!$C$31/12,0)</f>
        <v>83333.333333333328</v>
      </c>
      <c r="AE64" s="26">
        <f>IF(AE$50&gt;=Допущения!$C$10,Допущения!$C$31/12,0)</f>
        <v>83333.333333333328</v>
      </c>
      <c r="AF64" s="26">
        <f>IF(AF$50&gt;=Допущения!$C$10,Допущения!$C$31/12,0)</f>
        <v>83333.333333333328</v>
      </c>
      <c r="AG64" s="26">
        <f>IF(AG$50&gt;=Допущения!$C$10,Допущения!$C$31/12,0)</f>
        <v>83333.333333333328</v>
      </c>
      <c r="AH64" s="26">
        <f>IF(AH$50&gt;=Допущения!$C$10,Допущения!$C$31/12,0)</f>
        <v>83333.333333333328</v>
      </c>
      <c r="AI64" s="26">
        <f>IF(AI$50&gt;=Допущения!$C$10,Допущения!$C$31/12,0)</f>
        <v>83333.333333333328</v>
      </c>
      <c r="AJ64" s="26">
        <f>IF(AJ$50&gt;=Допущения!$C$10,Допущения!$C$31/12,0)</f>
        <v>83333.333333333328</v>
      </c>
      <c r="AK64" s="26">
        <f>IF(AK$50&gt;=Допущения!$C$10,Допущения!$C$31/12,0)</f>
        <v>83333.333333333328</v>
      </c>
      <c r="AL64" s="26">
        <f>IF(AL$50&gt;=Допущения!$C$10,Допущения!$C$31/12,0)</f>
        <v>83333.333333333328</v>
      </c>
    </row>
    <row r="65" spans="1:38" x14ac:dyDescent="0.3">
      <c r="A65" s="24" t="s">
        <v>113</v>
      </c>
      <c r="B65" s="2"/>
      <c r="C65" s="26">
        <f>C59*Допущения!$C$32*Допущения!$C$33/12</f>
        <v>100000</v>
      </c>
      <c r="D65" s="26">
        <f>D59*Допущения!$C$32*Допущения!$C$33/12</f>
        <v>100000</v>
      </c>
      <c r="E65" s="26">
        <f>E59*Допущения!$C$32*Допущения!$C$33/12</f>
        <v>100000</v>
      </c>
      <c r="F65" s="26">
        <f>F59*Допущения!$C$32*Допущения!$C$33/12</f>
        <v>100000</v>
      </c>
      <c r="G65" s="26">
        <f>G59*Допущения!$C$32*Допущения!$C$33/12</f>
        <v>100000</v>
      </c>
      <c r="H65" s="26">
        <f>H59*Допущения!$C$32*Допущения!$C$33/12</f>
        <v>100000</v>
      </c>
      <c r="I65" s="26">
        <f>I59*Допущения!$C$32*Допущения!$C$33/12</f>
        <v>100000</v>
      </c>
      <c r="J65" s="26">
        <f>J59*Допущения!$C$32*Допущения!$C$33/12</f>
        <v>100000</v>
      </c>
      <c r="K65" s="26">
        <f>K59*Допущения!$C$32*Допущения!$C$33/12</f>
        <v>100000</v>
      </c>
      <c r="L65" s="26">
        <f>L59*Допущения!$C$32*Допущения!$C$33/12</f>
        <v>100000</v>
      </c>
      <c r="M65" s="26">
        <f>M59*Допущения!$C$32*Допущения!$C$33/12</f>
        <v>100000</v>
      </c>
      <c r="N65" s="26">
        <f>N59*Допущения!$C$32*Допущения!$C$33/12</f>
        <v>150000</v>
      </c>
      <c r="O65" s="26">
        <f>O59*Допущения!$C$32*Допущения!$C$33/12</f>
        <v>150000</v>
      </c>
      <c r="P65" s="26">
        <f>P59*Допущения!$C$32*Допущения!$C$33/12</f>
        <v>150000</v>
      </c>
      <c r="Q65" s="26">
        <f>Q59*Допущения!$C$32*Допущения!$C$33/12</f>
        <v>150000</v>
      </c>
      <c r="R65" s="26">
        <f>R59*Допущения!$C$32*Допущения!$C$33/12</f>
        <v>200000</v>
      </c>
      <c r="S65" s="26">
        <f>S59*Допущения!$C$32*Допущения!$C$33/12</f>
        <v>200000</v>
      </c>
      <c r="T65" s="26">
        <f>T59*Допущения!$C$32*Допущения!$C$33/12</f>
        <v>200000</v>
      </c>
      <c r="U65" s="26">
        <f>U59*Допущения!$C$32*Допущения!$C$33/12</f>
        <v>200000</v>
      </c>
      <c r="V65" s="26">
        <f>V59*Допущения!$C$32*Допущения!$C$33/12</f>
        <v>200000</v>
      </c>
      <c r="W65" s="26">
        <f>W59*Допущения!$C$32*Допущения!$C$33/12</f>
        <v>200000</v>
      </c>
      <c r="X65" s="26">
        <f>X59*Допущения!$C$32*Допущения!$C$33/12</f>
        <v>200000</v>
      </c>
      <c r="Y65" s="26">
        <f>Y59*Допущения!$C$32*Допущения!$C$33/12</f>
        <v>200000</v>
      </c>
      <c r="Z65" s="26">
        <f>Z59*Допущения!$C$32*Допущения!$C$33/12</f>
        <v>200000</v>
      </c>
      <c r="AA65" s="26">
        <f>AA59*Допущения!$C$32*Допущения!$C$33/12</f>
        <v>200000</v>
      </c>
      <c r="AB65" s="26">
        <f>AB59*Допущения!$C$32*Допущения!$C$33/12</f>
        <v>200000</v>
      </c>
      <c r="AC65" s="26">
        <f>AC59*Допущения!$C$32*Допущения!$C$33/12</f>
        <v>250000</v>
      </c>
      <c r="AD65" s="26">
        <f>AD59*Допущения!$C$32*Допущения!$C$33/12</f>
        <v>250000</v>
      </c>
      <c r="AE65" s="26">
        <f>AE59*Допущения!$C$32*Допущения!$C$33/12</f>
        <v>250000</v>
      </c>
      <c r="AF65" s="26">
        <f>AF59*Допущения!$C$32*Допущения!$C$33/12</f>
        <v>250000</v>
      </c>
      <c r="AG65" s="26">
        <f>AG59*Допущения!$C$32*Допущения!$C$33/12</f>
        <v>250000</v>
      </c>
      <c r="AH65" s="26">
        <f>AH59*Допущения!$C$32*Допущения!$C$33/12</f>
        <v>250000</v>
      </c>
      <c r="AI65" s="26">
        <f>AI59*Допущения!$C$32*Допущения!$C$33/12</f>
        <v>250000</v>
      </c>
      <c r="AJ65" s="26">
        <f>AJ59*Допущения!$C$32*Допущения!$C$33/12</f>
        <v>250000</v>
      </c>
      <c r="AK65" s="26">
        <f>AK59*Допущения!$C$32*Допущения!$C$33/12</f>
        <v>250000</v>
      </c>
      <c r="AL65" s="26">
        <f>AL59*Допущения!$C$32*Допущения!$C$33/12</f>
        <v>250000</v>
      </c>
    </row>
    <row r="66" spans="1:38" x14ac:dyDescent="0.3">
      <c r="A66" s="28" t="s">
        <v>114</v>
      </c>
      <c r="B66" s="2"/>
      <c r="C66" s="26">
        <f t="shared" ref="C66:AL66" si="11">SUM(C60:C65)</f>
        <v>10775000</v>
      </c>
      <c r="D66" s="26">
        <f t="shared" si="11"/>
        <v>2775000</v>
      </c>
      <c r="E66" s="26">
        <f t="shared" si="11"/>
        <v>2775000</v>
      </c>
      <c r="F66" s="26">
        <f t="shared" si="11"/>
        <v>2775000</v>
      </c>
      <c r="G66" s="26">
        <f t="shared" si="11"/>
        <v>2775000</v>
      </c>
      <c r="H66" s="26">
        <f t="shared" si="11"/>
        <v>2775000</v>
      </c>
      <c r="I66" s="26">
        <f t="shared" si="11"/>
        <v>1658333.3333333333</v>
      </c>
      <c r="J66" s="26">
        <f t="shared" si="11"/>
        <v>1658333.3333333333</v>
      </c>
      <c r="K66" s="26">
        <f t="shared" si="11"/>
        <v>1658333.3333333333</v>
      </c>
      <c r="L66" s="26">
        <f t="shared" si="11"/>
        <v>1658333.3333333333</v>
      </c>
      <c r="M66" s="26">
        <f t="shared" si="11"/>
        <v>1658333.3333333333</v>
      </c>
      <c r="N66" s="26">
        <f t="shared" si="11"/>
        <v>5708333.333333333</v>
      </c>
      <c r="O66" s="26">
        <f t="shared" si="11"/>
        <v>1708333.3333333333</v>
      </c>
      <c r="P66" s="26">
        <f t="shared" si="11"/>
        <v>1708333.3333333333</v>
      </c>
      <c r="Q66" s="26">
        <f t="shared" si="11"/>
        <v>1708333.3333333333</v>
      </c>
      <c r="R66" s="26">
        <f t="shared" si="11"/>
        <v>5758333.333333333</v>
      </c>
      <c r="S66" s="26">
        <f t="shared" si="11"/>
        <v>1758333.3333333333</v>
      </c>
      <c r="T66" s="26">
        <f t="shared" si="11"/>
        <v>1758333.3333333333</v>
      </c>
      <c r="U66" s="26">
        <f t="shared" si="11"/>
        <v>1758333.3333333333</v>
      </c>
      <c r="V66" s="26">
        <f t="shared" si="11"/>
        <v>1758333.3333333333</v>
      </c>
      <c r="W66" s="26">
        <f t="shared" si="11"/>
        <v>1758333.3333333333</v>
      </c>
      <c r="X66" s="26">
        <f t="shared" si="11"/>
        <v>1758333.3333333333</v>
      </c>
      <c r="Y66" s="26">
        <f t="shared" si="11"/>
        <v>1758333.3333333333</v>
      </c>
      <c r="Z66" s="26">
        <f t="shared" si="11"/>
        <v>1758333.3333333333</v>
      </c>
      <c r="AA66" s="26">
        <f t="shared" si="11"/>
        <v>1758333.3333333333</v>
      </c>
      <c r="AB66" s="26">
        <f t="shared" si="11"/>
        <v>1758333.3333333333</v>
      </c>
      <c r="AC66" s="26">
        <f t="shared" si="11"/>
        <v>5808333.333333333</v>
      </c>
      <c r="AD66" s="26">
        <f t="shared" si="11"/>
        <v>1808333.3333333333</v>
      </c>
      <c r="AE66" s="26">
        <f t="shared" si="11"/>
        <v>1808333.3333333333</v>
      </c>
      <c r="AF66" s="26">
        <f t="shared" si="11"/>
        <v>1808333.3333333333</v>
      </c>
      <c r="AG66" s="26">
        <f t="shared" si="11"/>
        <v>1808333.3333333333</v>
      </c>
      <c r="AH66" s="26">
        <f t="shared" si="11"/>
        <v>1808333.3333333333</v>
      </c>
      <c r="AI66" s="26">
        <f t="shared" si="11"/>
        <v>1808333.3333333333</v>
      </c>
      <c r="AJ66" s="26">
        <f t="shared" si="11"/>
        <v>1808333.3333333333</v>
      </c>
      <c r="AK66" s="26">
        <f t="shared" si="11"/>
        <v>1808333.3333333333</v>
      </c>
      <c r="AL66" s="26">
        <f t="shared" si="11"/>
        <v>1808333.3333333333</v>
      </c>
    </row>
    <row r="67" spans="1:38" x14ac:dyDescent="0.3">
      <c r="A67" s="28" t="s">
        <v>115</v>
      </c>
      <c r="B67" s="2"/>
      <c r="C67" s="26">
        <f t="shared" ref="C67:AL67" si="12">C58-C66</f>
        <v>-10775000</v>
      </c>
      <c r="D67" s="26">
        <f t="shared" si="12"/>
        <v>-2775000</v>
      </c>
      <c r="E67" s="26">
        <f t="shared" si="12"/>
        <v>-2775000</v>
      </c>
      <c r="F67" s="26">
        <f t="shared" si="12"/>
        <v>-2711550</v>
      </c>
      <c r="G67" s="26">
        <f t="shared" si="12"/>
        <v>-2685737.5</v>
      </c>
      <c r="H67" s="26">
        <f t="shared" si="12"/>
        <v>-2660355.2083333335</v>
      </c>
      <c r="I67" s="26">
        <f t="shared" si="12"/>
        <v>-1288137.2361533418</v>
      </c>
      <c r="J67" s="26">
        <f t="shared" si="12"/>
        <v>-866740.03558296082</v>
      </c>
      <c r="K67" s="26">
        <f t="shared" si="12"/>
        <v>-314821.55909630796</v>
      </c>
      <c r="L67" s="26">
        <f t="shared" si="12"/>
        <v>369554.09441792616</v>
      </c>
      <c r="M67" s="26">
        <f t="shared" si="12"/>
        <v>1188384.205669509</v>
      </c>
      <c r="N67" s="26">
        <f t="shared" si="12"/>
        <v>-1906271.684323288</v>
      </c>
      <c r="O67" s="26">
        <f t="shared" si="12"/>
        <v>3187709.1281388225</v>
      </c>
      <c r="P67" s="26">
        <f t="shared" si="12"/>
        <v>4422513.4337766115</v>
      </c>
      <c r="Q67" s="26">
        <f t="shared" si="12"/>
        <v>5800393.0569530409</v>
      </c>
      <c r="R67" s="26">
        <f t="shared" si="12"/>
        <v>3273665.8248934234</v>
      </c>
      <c r="S67" s="26">
        <f t="shared" si="12"/>
        <v>8944716.5598311536</v>
      </c>
      <c r="T67" s="26">
        <f t="shared" si="12"/>
        <v>10765998.094412351</v>
      </c>
      <c r="U67" s="26">
        <f t="shared" si="12"/>
        <v>12387181.848250458</v>
      </c>
      <c r="V67" s="26">
        <f t="shared" si="12"/>
        <v>14009361.01908732</v>
      </c>
      <c r="W67" s="26">
        <f t="shared" si="12"/>
        <v>15632947.913694372</v>
      </c>
      <c r="X67" s="26">
        <f t="shared" si="12"/>
        <v>17258354.533250332</v>
      </c>
      <c r="Y67" s="26">
        <f t="shared" si="12"/>
        <v>18885992.678959247</v>
      </c>
      <c r="Z67" s="26">
        <f t="shared" si="12"/>
        <v>20516274.057447251</v>
      </c>
      <c r="AA67" s="26">
        <f t="shared" si="12"/>
        <v>22149610.385965213</v>
      </c>
      <c r="AB67" s="26">
        <f t="shared" si="12"/>
        <v>23786413.497424498</v>
      </c>
      <c r="AC67" s="26">
        <f t="shared" si="12"/>
        <v>21377095.445292883</v>
      </c>
      <c r="AD67" s="26">
        <f t="shared" si="12"/>
        <v>27022068.608377591</v>
      </c>
      <c r="AE67" s="26">
        <f t="shared" si="12"/>
        <v>28671745.795522474</v>
      </c>
      <c r="AF67" s="26">
        <f t="shared" si="12"/>
        <v>30326540.350245982</v>
      </c>
      <c r="AG67" s="26">
        <f t="shared" si="12"/>
        <v>31986866.255346965</v>
      </c>
      <c r="AH67" s="26">
        <f t="shared" si="12"/>
        <v>33653138.23750487</v>
      </c>
      <c r="AI67" s="26">
        <f t="shared" si="12"/>
        <v>35325771.87190111</v>
      </c>
      <c r="AJ67" s="26">
        <f t="shared" si="12"/>
        <v>37005183.68688824</v>
      </c>
      <c r="AK67" s="26">
        <f t="shared" si="12"/>
        <v>38691791.268733583</v>
      </c>
      <c r="AL67" s="26">
        <f t="shared" si="12"/>
        <v>40386013.366463929</v>
      </c>
    </row>
    <row r="68" spans="1:38" x14ac:dyDescent="0.3">
      <c r="A68" s="28" t="s">
        <v>116</v>
      </c>
      <c r="B68" s="2"/>
      <c r="C68" s="26">
        <f>0+C67</f>
        <v>-10775000</v>
      </c>
      <c r="D68" s="26">
        <f t="shared" ref="D68:AL68" si="13">C68+D67</f>
        <v>-13550000</v>
      </c>
      <c r="E68" s="26">
        <f t="shared" si="13"/>
        <v>-16325000</v>
      </c>
      <c r="F68" s="26">
        <f t="shared" si="13"/>
        <v>-19036550</v>
      </c>
      <c r="G68" s="26">
        <f t="shared" si="13"/>
        <v>-21722287.5</v>
      </c>
      <c r="H68" s="26">
        <f t="shared" si="13"/>
        <v>-24382642.708333332</v>
      </c>
      <c r="I68" s="26">
        <f t="shared" si="13"/>
        <v>-25670779.944486674</v>
      </c>
      <c r="J68" s="26">
        <f t="shared" si="13"/>
        <v>-26537519.980069634</v>
      </c>
      <c r="K68" s="26">
        <f t="shared" si="13"/>
        <v>-26852341.53916594</v>
      </c>
      <c r="L68" s="26">
        <f t="shared" si="13"/>
        <v>-26482787.444748014</v>
      </c>
      <c r="M68" s="26">
        <f t="shared" si="13"/>
        <v>-25294403.239078507</v>
      </c>
      <c r="N68" s="26">
        <f t="shared" si="13"/>
        <v>-27200674.923401795</v>
      </c>
      <c r="O68" s="26">
        <f t="shared" si="13"/>
        <v>-24012965.795262974</v>
      </c>
      <c r="P68" s="26">
        <f t="shared" si="13"/>
        <v>-19590452.36148636</v>
      </c>
      <c r="Q68" s="26">
        <f t="shared" si="13"/>
        <v>-13790059.30453332</v>
      </c>
      <c r="R68" s="26">
        <f t="shared" si="13"/>
        <v>-10516393.479639895</v>
      </c>
      <c r="S68" s="26">
        <f t="shared" si="13"/>
        <v>-1571676.9198087417</v>
      </c>
      <c r="T68" s="26">
        <f t="shared" si="13"/>
        <v>9194321.1746036094</v>
      </c>
      <c r="U68" s="26">
        <f t="shared" si="13"/>
        <v>21581503.022854067</v>
      </c>
      <c r="V68" s="26">
        <f t="shared" si="13"/>
        <v>35590864.041941389</v>
      </c>
      <c r="W68" s="26">
        <f t="shared" si="13"/>
        <v>51223811.955635764</v>
      </c>
      <c r="X68" s="26">
        <f t="shared" si="13"/>
        <v>68482166.488886088</v>
      </c>
      <c r="Y68" s="26">
        <f t="shared" si="13"/>
        <v>87368159.167845339</v>
      </c>
      <c r="Z68" s="26">
        <f t="shared" si="13"/>
        <v>107884433.22529259</v>
      </c>
      <c r="AA68" s="26">
        <f t="shared" si="13"/>
        <v>130034043.61125781</v>
      </c>
      <c r="AB68" s="26">
        <f t="shared" si="13"/>
        <v>153820457.1086823</v>
      </c>
      <c r="AC68" s="26">
        <f t="shared" si="13"/>
        <v>175197552.55397519</v>
      </c>
      <c r="AD68" s="26">
        <f t="shared" si="13"/>
        <v>202219621.1623528</v>
      </c>
      <c r="AE68" s="26">
        <f t="shared" si="13"/>
        <v>230891366.95787528</v>
      </c>
      <c r="AF68" s="26">
        <f t="shared" si="13"/>
        <v>261217907.30812126</v>
      </c>
      <c r="AG68" s="26">
        <f t="shared" si="13"/>
        <v>293204773.56346822</v>
      </c>
      <c r="AH68" s="26">
        <f t="shared" si="13"/>
        <v>326857911.80097306</v>
      </c>
      <c r="AI68" s="26">
        <f t="shared" si="13"/>
        <v>362183683.67287415</v>
      </c>
      <c r="AJ68" s="26">
        <f t="shared" si="13"/>
        <v>399188867.35976237</v>
      </c>
      <c r="AK68" s="26">
        <f t="shared" si="13"/>
        <v>437880658.62849593</v>
      </c>
      <c r="AL68" s="26">
        <f t="shared" si="13"/>
        <v>478266671.99495983</v>
      </c>
    </row>
    <row r="69" spans="1:38" x14ac:dyDescent="0.3">
      <c r="A69" s="24" t="s">
        <v>117</v>
      </c>
      <c r="B69" s="2"/>
      <c r="C69" s="29" t="str">
        <f>IF(C68&gt;=0,C$50,"")</f>
        <v/>
      </c>
      <c r="D69" s="29" t="str">
        <f t="shared" ref="D69:AL69" si="14">IF(AND(D68&gt;=0,C68&lt;0),D$50,"")</f>
        <v/>
      </c>
      <c r="E69" s="29" t="str">
        <f t="shared" si="14"/>
        <v/>
      </c>
      <c r="F69" s="29" t="str">
        <f t="shared" si="14"/>
        <v/>
      </c>
      <c r="G69" s="29" t="str">
        <f t="shared" si="14"/>
        <v/>
      </c>
      <c r="H69" s="29" t="str">
        <f t="shared" si="14"/>
        <v/>
      </c>
      <c r="I69" s="29" t="str">
        <f t="shared" si="14"/>
        <v/>
      </c>
      <c r="J69" s="29" t="str">
        <f t="shared" si="14"/>
        <v/>
      </c>
      <c r="K69" s="29" t="str">
        <f t="shared" si="14"/>
        <v/>
      </c>
      <c r="L69" s="29" t="str">
        <f t="shared" si="14"/>
        <v/>
      </c>
      <c r="M69" s="29" t="str">
        <f t="shared" si="14"/>
        <v/>
      </c>
      <c r="N69" s="29" t="str">
        <f t="shared" si="14"/>
        <v/>
      </c>
      <c r="O69" s="29" t="str">
        <f t="shared" si="14"/>
        <v/>
      </c>
      <c r="P69" s="29" t="str">
        <f t="shared" si="14"/>
        <v/>
      </c>
      <c r="Q69" s="29" t="str">
        <f t="shared" si="14"/>
        <v/>
      </c>
      <c r="R69" s="29" t="str">
        <f t="shared" si="14"/>
        <v/>
      </c>
      <c r="S69" s="29" t="str">
        <f t="shared" si="14"/>
        <v/>
      </c>
      <c r="T69" s="29">
        <f t="shared" si="14"/>
        <v>18</v>
      </c>
      <c r="U69" s="29" t="str">
        <f t="shared" si="14"/>
        <v/>
      </c>
      <c r="V69" s="29" t="str">
        <f t="shared" si="14"/>
        <v/>
      </c>
      <c r="W69" s="29" t="str">
        <f t="shared" si="14"/>
        <v/>
      </c>
      <c r="X69" s="29" t="str">
        <f t="shared" si="14"/>
        <v/>
      </c>
      <c r="Y69" s="29" t="str">
        <f t="shared" si="14"/>
        <v/>
      </c>
      <c r="Z69" s="29" t="str">
        <f t="shared" si="14"/>
        <v/>
      </c>
      <c r="AA69" s="29" t="str">
        <f t="shared" si="14"/>
        <v/>
      </c>
      <c r="AB69" s="29" t="str">
        <f t="shared" si="14"/>
        <v/>
      </c>
      <c r="AC69" s="29" t="str">
        <f t="shared" si="14"/>
        <v/>
      </c>
      <c r="AD69" s="29" t="str">
        <f t="shared" si="14"/>
        <v/>
      </c>
      <c r="AE69" s="29" t="str">
        <f t="shared" si="14"/>
        <v/>
      </c>
      <c r="AF69" s="29" t="str">
        <f t="shared" si="14"/>
        <v/>
      </c>
      <c r="AG69" s="29" t="str">
        <f t="shared" si="14"/>
        <v/>
      </c>
      <c r="AH69" s="29" t="str">
        <f t="shared" si="14"/>
        <v/>
      </c>
      <c r="AI69" s="29" t="str">
        <f t="shared" si="14"/>
        <v/>
      </c>
      <c r="AJ69" s="29" t="str">
        <f t="shared" si="14"/>
        <v/>
      </c>
      <c r="AK69" s="29" t="str">
        <f t="shared" si="14"/>
        <v/>
      </c>
      <c r="AL69" s="29" t="str">
        <f t="shared" si="14"/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/>
  </sheetViews>
  <sheetFormatPr defaultRowHeight="14.4" x14ac:dyDescent="0.3"/>
  <cols>
    <col min="1" max="1" width="4" customWidth="1"/>
    <col min="2" max="2" width="95" customWidth="1"/>
    <col min="3" max="3" width="70" customWidth="1"/>
  </cols>
  <sheetData>
    <row r="1" spans="1:3" ht="17.399999999999999" x14ac:dyDescent="0.3">
      <c r="A1" s="1" t="s">
        <v>120</v>
      </c>
      <c r="B1" s="2"/>
      <c r="C1" s="2"/>
    </row>
    <row r="2" spans="1:3" x14ac:dyDescent="0.3">
      <c r="A2" s="2"/>
      <c r="B2" s="2"/>
      <c r="C2" s="2"/>
    </row>
    <row r="3" spans="1:3" ht="41.4" x14ac:dyDescent="0.3">
      <c r="A3" s="24">
        <v>1</v>
      </c>
      <c r="B3" s="30" t="s">
        <v>121</v>
      </c>
      <c r="C3" s="31" t="s">
        <v>122</v>
      </c>
    </row>
    <row r="4" spans="1:3" ht="27.6" x14ac:dyDescent="0.3">
      <c r="A4" s="24">
        <v>2</v>
      </c>
      <c r="B4" s="30" t="s">
        <v>123</v>
      </c>
      <c r="C4" s="31" t="s">
        <v>124</v>
      </c>
    </row>
    <row r="5" spans="1:3" ht="27.6" x14ac:dyDescent="0.3">
      <c r="A5" s="24">
        <v>3</v>
      </c>
      <c r="B5" s="30" t="s">
        <v>125</v>
      </c>
      <c r="C5" s="31" t="s">
        <v>126</v>
      </c>
    </row>
    <row r="6" spans="1:3" ht="27.6" x14ac:dyDescent="0.3">
      <c r="A6" s="24">
        <v>4</v>
      </c>
      <c r="B6" s="30" t="s">
        <v>127</v>
      </c>
      <c r="C6" s="31" t="s">
        <v>128</v>
      </c>
    </row>
    <row r="7" spans="1:3" x14ac:dyDescent="0.3">
      <c r="A7" s="24">
        <v>5</v>
      </c>
      <c r="B7" s="30" t="s">
        <v>129</v>
      </c>
      <c r="C7" s="31" t="s">
        <v>130</v>
      </c>
    </row>
    <row r="8" spans="1:3" x14ac:dyDescent="0.3">
      <c r="A8" s="24">
        <v>6</v>
      </c>
      <c r="B8" s="30" t="s">
        <v>131</v>
      </c>
      <c r="C8" s="31" t="s">
        <v>132</v>
      </c>
    </row>
  </sheetData>
  <hyperlinks>
    <hyperlink ref="C3" r:id="rId1" xr:uid="{00000000-0004-0000-0300-000000000000}"/>
    <hyperlink ref="C4" r:id="rId2" xr:uid="{00000000-0004-0000-0300-000001000000}"/>
    <hyperlink ref="C5" r:id="rId3" xr:uid="{00000000-0004-0000-0300-000002000000}"/>
    <hyperlink ref="C6" r:id="rId4" xr:uid="{00000000-0004-0000-0300-000003000000}"/>
    <hyperlink ref="C7" r:id="rId5" xr:uid="{00000000-0004-0000-0300-000004000000}"/>
    <hyperlink ref="C8" r:id="rId6" xr:uid="{00000000-0004-0000-0300-000005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Итоги</vt:lpstr>
      <vt:lpstr>Допущения</vt:lpstr>
      <vt:lpstr>Расчёт</vt:lpstr>
      <vt:lpstr>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LuxuryComp</cp:lastModifiedBy>
  <dcterms:created xsi:type="dcterms:W3CDTF">2026-10-12T15:22:06Z</dcterms:created>
  <dcterms:modified xsi:type="dcterms:W3CDTF">2026-10-12T15:22:17Z</dcterms:modified>
</cp:coreProperties>
</file>